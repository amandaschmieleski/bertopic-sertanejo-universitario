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oes" sheetId="1" r:id="rId5"/>
    <sheet state="visible" name="Itens_base" sheetId="2" r:id="rId6"/>
    <sheet state="visible" name="Anotador_1" sheetId="3" r:id="rId7"/>
    <sheet state="visible" name="Anotador_2" sheetId="4" r:id="rId8"/>
    <sheet state="visible" name="Anotador_3" sheetId="5" r:id="rId9"/>
    <sheet state="visible" name="Anotador_4" sheetId="6" r:id="rId10"/>
    <sheet state="visible" name="Consolidacao" sheetId="7" r:id="rId11"/>
  </sheets>
  <definedNames/>
  <calcPr/>
</workbook>
</file>

<file path=xl/sharedStrings.xml><?xml version="1.0" encoding="utf-8"?>
<sst xmlns="http://schemas.openxmlformats.org/spreadsheetml/2006/main" count="263" uniqueCount="99">
  <si>
    <t>Protocolo de validação humana dos macro-tópicos</t>
  </si>
  <si>
    <t>Objetivo</t>
  </si>
  <si>
    <t>Verificar se os rótulos interpretativos dos 10 macro-tópicos representam adequadamente as palavras representativas do corte conceitual 0,90 e as estrofes amostradas.</t>
  </si>
  <si>
    <t>Avaliadores</t>
  </si>
  <si>
    <t>Use 6 anotadores independentes. Não conte a autora como anotadora. No artigo, identifique-os apenas por perfil/código, não por nome.</t>
  </si>
  <si>
    <t>Independência</t>
  </si>
  <si>
    <t>Os anotadores devem preencher a avaliação separadamente, sem conversar entre si sobre os itens antes de finalizar.</t>
  </si>
  <si>
    <t>Material por item</t>
  </si>
  <si>
    <t>Cada item mostra: ID do macro-tópico, rótulo proposto, palavras representativas do corte conceitual 0,90 e 5 estrofes amostradas do agrupamento.</t>
  </si>
  <si>
    <t>Escala 1-5</t>
  </si>
  <si>
    <t>1 = não representa; 2 = representa pouco; 3 = representa parcialmente; 4 = representa bem; 5 = representa muito bem.</t>
  </si>
  <si>
    <t>Critério por macro-tópico</t>
  </si>
  <si>
    <t>Rótulo validado se média &gt;= 4,0 e pelo menos 4 dos 6 anotadores derem nota &gt;= 4.</t>
  </si>
  <si>
    <t>Macro_ID</t>
  </si>
  <si>
    <t>Rótulo proposto</t>
  </si>
  <si>
    <t>Palavras representativas</t>
  </si>
  <si>
    <t>Tópicos originais</t>
  </si>
  <si>
    <t>Amostras de estrofes</t>
  </si>
  <si>
    <t>Paixão, sofrimento amoroso e término</t>
  </si>
  <si>
    <t>amo, amar, paixão, tempo, tudo, sei amo</t>
  </si>
  <si>
    <t>0, 4, 6, 9, 13, 15, 19</t>
  </si>
  <si>
    <t>1) Um amor de verdade não tem despedida Volta pra minha vida Deixa esse medo e venha o que vier Eu não vou desgrudar de você [Volta Pra Minha Vida — Jorge &amp; Mateus (2010)]
2) Eu vou curar essa dor E encontrar um novo amor Em um caminho sem rumo Vou levando a vida Em um caminho sem rumo Vou levando a vida [Vestígios — Jorge &amp; Mateus (2010)]
3) Um dia a gente se encontra E nada de chorar Mesmo sem você eu vou ser feliz Com outra pessoa vai me encontrar Vivendo aquele grande amor Que você nunca quis [Um Dia a Gente Se Encontra (part. João Bosco e Vinicius) — Marcos &amp; Belutti (2011)]
4) Só o silencio ficou entre nós A indiferença calou nossa voz O nosso amor foi ficando esquecido Só a tristeza sorriu pra nós dois A felicidade ficou pra depois Pena que tudo foi tempo perdido [Tempo Perdido — Zezé Di Camargo &amp; Luciano (2006)]
5) Um beijo fala mais que mil palavras Um toque é bem mais que poesia No seu olhar enxergo a sua alma Sua fala é uma linda melodia Ninguém sabe explicar o que é o amor Ninguém vai ser feliz sem ser amado Meu coração de vez se entregou Confesso que eu estou apaixonado [Um Beijo — Luan Santana (2011)]</t>
  </si>
  <si>
    <t>Corpo, desejo e afeto</t>
  </si>
  <si>
    <t>corpo, acordar, dose, sinto, choro, dormir</t>
  </si>
  <si>
    <t>1, 2, 8, 21</t>
  </si>
  <si>
    <t>1) Os nossos corpos se completam mesmo estando longe Em pensamento eu vou te buscar Dá calafrio, um arrepio ao lembrar seu cheiro Pela porta do quarto entrar [Calafrio — Henrique &amp; Juliano (2014)]
2) E nas curvas do seu corpo Invadir a contramão Dar de frente com seu peito SOS coração [Contramão — Gustavo Mioto (2017)]
3) Tenho, às vezes, que pedir um beijo Controlar os meus desejos Esperar por um abraço Pra curar o meu cansaço E um carinho no meu rosto Nem sei quanto tempo faz [Você Mudou Demais — Marília Mendonça (2025)]
4) Os dez mandamentos do amor Para conquistar uma mulher Tem que ter carinho, tem que ter jeitinho Tem que dar aquilo que ela quer [Os 10 Mandamentos do Amor — Eduardo Costa (2013)]
5) Botei a melhor roupa pra esconder os meus defeitos Exagerei no perfume pra te impressionar Cheguei mais cedo pra te ver chegar [Atrasadinha (part. Ferrugem) — Felipe Araújo (2019)]</t>
  </si>
  <si>
    <t>Imagens poéticas de natureza, tempo e céu</t>
  </si>
  <si>
    <t>lua, sol, céu, estrelas, sonhar, voar</t>
  </si>
  <si>
    <t>3, 22, 32, 37</t>
  </si>
  <si>
    <t>1) Até mesmo as sete ondas E os fogos no céu Sabia o que eu ia pedir pro Papai Noel Era você, eh, eh, iêh, eh, eh, iêh, iêh, iêh [1° de Janeiro — Nilson Neto (2024)]
2) O tempo passa depressa quando estou com você As horas viram minutos, não consigo entender E o que eu mais quero é viver ao seu lado Cada segundo, amor [60 Segundos — Gusttavo Lima (2011)]
3) Percebo que o tempo já não passa Você diz que não tem graça amar assim Foi tudo tão bonito, mas voou pro infinito Parecido com borboletas de um jardim [Borboletas — Victor &amp; Leo (2008)]
4) E quando a chuva não batia na minha janela Não podia dormir, te esperava, buscava Teu corpo, teu cheiro sumiu em um mar de dor [Agora (Ahora) — Bruno &amp; Marrone (2014)]
5) Vamos fazer desse lugar, nosso céu particular Deixa o povo perguntar onde será que a gente tá Vamos fazer desse lugar, nosso céu particular Porque o melhor lugar é onde você está [Céu Particular — Henrique &amp; Juliano (2014)]</t>
  </si>
  <si>
    <t>Reconciliação, volta e incerteza afetiva</t>
  </si>
  <si>
    <t>volta, será, povo, ninguém, outro, será rolar</t>
  </si>
  <si>
    <t>10, 11, 29, 31</t>
  </si>
  <si>
    <t>1) Não dá mais Não dá pra enganar ou querer fugir Não dá mais Se esse sentimento vai crescendo em mim Mas tenho que encarar essa decisão De me confessar e abrir meu coração [Aqui É o Seu Lugar — Luan Santana (2009)]
2) Mas decidi que assim não dá Que é contigo o meu lugar Me perdoa por favor [Coração Bandido (part. Maiara &amp; Maraisa) — Marília Mendonça (2020)]
3) Eu não sei dizer se este amor Vai voltar a ser o que já foi Não sei se depois que amanhecer Nós vamos saber o que fazer Se vai me julgar mais uma vez Não pergunte coisas que eu não sei Coisas que eu não sei [Já Não Sei Mais Nada (Yo No Se Mañana) — Bruno &amp; Marrone (2011)]
4) Será que vai rolar da gente ficar? Será, será? Eu quero é tentar Será que vai rolar da gente ficar? Será, será? Eu quero é tentar [Será Que Vai Rolar? — Marcos &amp; Belutti (2010)]
5) Melhor não dizer nada Enquanto pensa No que vai fazer da vida Pode ser que você pegue Um caminho sem saída E não tenha outro jeito A não ser voltar pra mim [Pedras — Zezé Di Camargo (2022)]</t>
  </si>
  <si>
    <t>Espiritualidade, cuidado e proteção</t>
  </si>
  <si>
    <t>deus, coloca, senhor, cuidado, pé, chão</t>
  </si>
  <si>
    <t>5, 25</t>
  </si>
  <si>
    <t>1) Pai, eu sei, o tempo é implacável Afasta os nossos corpos, mas aproxima o coração O seu nome é sempre lembrado Com um verso, eu falo de você sempre na oração [11 Vidas — Lucas Lucco (2014)]
2) De olho aberto ou fechado, eu só vejo você Sua missão no mundo deve ser me proteger Cê é tipo um anjo moderno de roupa e sem asas Que fez desse meu coração, seu céu, sua casa [Anjo Moderno — Jorge &amp; Mateus (2018)]
3) Deus criou pra cada um seu próprio dom Junto com cada talento uma missão Pra uns a força, astúcia, a fama e o poder Pra outros deu a inquietude do saber [Criação Divina (part. Paula Fernandes) — Zezé Di Camargo &amp; Luciano (2012)]
4) Eu vou subir, eu vou subir Quem vai subir, quem vai subir Jesus já vai voltar esse povo vai levar E lá na Glória Santo santo nós vamos cantar [Dependente — Alisson Santos (2019)]
5) Quem vai me acalmar, me suportar E adoçar meus beijos Você que é meu anjo Só você que é meu anjo protetor [Anjo Protetor — Eduardo Costa (2012)]</t>
  </si>
  <si>
    <t>Jogos afetivos e disputa amorosa</t>
  </si>
  <si>
    <t>fora, jogo, jogado, jogando, fogo, lance</t>
  </si>
  <si>
    <t>7, 35</t>
  </si>
  <si>
    <t>1) Cansei de esperar na janela de casa Me enchi do seu jogo agora vou me virar Não quero mais lágrimas na minha vida [A Fila Andou — Maria Cecília e Rodolfo (2008)]
2) Tô aqui jogado fora Ela não quer mais me ver Vacilei, pisei na bola E ela me deu o fora Tô perdido sem você [Aceita Que Dói Menos (part. Marília Mendonça) — Trio Parada Dura (2017)]
3) Amiga não tô dando fora no seu coração Mas nós estamos misturando amizade e paixão Amizade e paixão [Amiga Linda — João Bosco &amp; Vinícius (2015)]
4) Eu já perdi o jogo, já perdi o norte Sei que no amor também não tô com sorte Tô roendo o toco, tô rindo pra não chorar Essa indiferença, paixão dividida Agora cada um segue a sua vida De hoje em diante é eu pra cá, você pra lá [Castigo — Jorge &amp; Mateus (2007)]
5) Pode brincar Eu te conheço, sei jogar teu jogo Sei que você vai se queimar Sei que não aguenta fogo e vai quebrar a cara Quando me ver escapando entre seus dedos Ou dividindo os meus segredos com outra pessoa Hoje eu acordei gostando mais de mim Vou cair fora numa boa [O Mundo É Tão Pequeno — Jorge &amp; Mateus (2009)]</t>
  </si>
  <si>
    <t>Comunicação, recaída e recomeço</t>
  </si>
  <si>
    <t>celular, internet, mensagem, fila anda, lento, fila</t>
  </si>
  <si>
    <t>12, 28</t>
  </si>
  <si>
    <t>1) Tá me achando com cara de bobo? Por que tá me ligando de novo? Dessa vez eu só tô te atendendo pra dizer Que ontem foi a nossa última vez [Abre o Portão Que Eu Cheguei — Gusttavo Lima (2016)]
2) A tela fria desse celular, só ver sua foto não vai me esquentar Amar você de longe é tão ruim Te quero ao vivo e a cores aqui, aqui [Ao Vivo E A Cores (part. Anitta) — Matheus &amp; Kauan (2018)]
3) Oh, baby, me atende Ai que vontade de tacar meu celular na parede, ai que vontade Oh, baby, me atende Ai que vontade de jogar meu celular na parede [Baby Me Atende (part. Dilsinho) — Matheus Fernandes (2021)]
4) Parece que cê sente cheiro de bebida de longe Sabe que eu tô fraco Aí que entra seu nome na tela do celular Me perguntando: Aonde você tá? [Arranhão — Henrique &amp; Juliano (2021)]
5) Eu vou trocar meu celular num Nokia tijolão Que só manda mensagem e faz ligação Se eu ver mais um vídeo seu, sem eu, sendo feliz Certeza que a minha vida vai tá por um triz Me mata não! Essa internet virou arma na sua mão [Tijolão — Jorge &amp; Mateus (2020)]</t>
  </si>
  <si>
    <t>Bar, cabaré e sociabilidade</t>
  </si>
  <si>
    <t>bar, família, enquanto, virou, sai, homem</t>
  </si>
  <si>
    <t>18, 24</t>
  </si>
  <si>
    <t>1) Hoje ela frequenta O bar da faculdade Balada sertaneja E os pubs da cidade [A Bela e o Fera — Munhoz &amp; Mariano (2011)]
2) Marca com outro Um barzinho na sexta, um motel no domingo Mas aguenta os déjà-vu comigo Sua vida vai ser isso aí Enquanto não admitir que [DEJA VU (part. Ana Castela) — Luan Santana (2023)]
3) E quem me viu, se visse hoje não acreditaria Deixei o bar, agora é só sorveteria Só eu e ela quem diria Que o cachaceiro virou homem de família [Homem de Família — Gusttavo Lima (2016)]
4) Você achou que eu ia sofrer Mas eu tinha meu plano B Sabe de nada, a minha agenda tava disfarçada Lugar de homem era mulher Restaurante era cabaré Sabe de nada, foi enganada [Vai Vendo — Lucas Lucco (2015)]
5) Por causa de uma falsa amiga Deixou uma boa vida, pra morar no cabaré Passando de mão em mão, se vendendo por tostão Pra ficar com quem quiser [Mulher da Blusa Amarela — Amado Edílson (2009)]</t>
  </si>
  <si>
    <t>Ex-relacionamento, curtição e superação</t>
  </si>
  <si>
    <t>ex, acabou, ser ex, valorizando, engole, acabou amor</t>
  </si>
  <si>
    <t>16, 30</t>
  </si>
  <si>
    <t>1) Você se lembra quando me pediu pra ir embora Dizendo que só queria curtir a vida agora Que cansou de namorar Que o negócio era festar [Ai Que Dó — Thaeme e Thiago (2011)]
2) Acabou, acabou, ooh Deixa eu seguir minha vida e segue a sua com outro Amizade com ex é desculpa de quem amou pouco, ooh [Amigo Da Minha Saudade — Henrique &amp; Juliano (2025)]
3) Prazer, eu sou a ex do seu atual Não me leve a mal Cê tá num beco sem saída Ele vai ferrar com a sua vida [Ex do Seu Atual — Naiara Azevedo (2016)]
4) E conta pra ele o que você fez Que uma mulher foda virou sua ex Quis ser o bichão, agora engole calado Outro valorizando o que era pra você ter valorizado [Mulher Foda — Simone Mendes (2024)]
5) Mudei os meus conceitos, me valorizei Saí pra balada, eu me libertei Dei a volta por cima e hoje eu te mostrei Minha nova namorada [Nova Namorada — Marcos &amp; Belutti (2011)]</t>
  </si>
  <si>
    <t>Perda, decisão e mudança de vida</t>
  </si>
  <si>
    <t>perdeu, dar, primeiro gente, saber acontecer, fugida, jeito</t>
  </si>
  <si>
    <t>20, 33</t>
  </si>
  <si>
    <t>1) Eu me perdi tentando acertar E sem saida comecei andar Por uma selva de perigos Não consegui escapar Eu precisava de uma bússola [A Bússola — Luan Santana (2011)]
2) Tirei o seu perfume da memória Botei ponto final na nossa história Eu já chorei, eu já sofri mas te esqueci Preciso ser feliz [A Fila Andou — Maria Cecília e Rodolfo (2008)]
3) Quando me perdi, você apareceu Me fazendo rir, do que aconteceu E de medo olhei tudo ao meu redor Só assim enxerguei que agora estou melhor [Esperando Na Janela — César Menotti &amp; Fabiano (2005)]
4) E eu já decidi que hoje eu vou sair Sem preocupar eu vou me divertir Já que agora eu não preciso me explicar E com certeza você vai ouvir falar [Lei do Desapego — Thiago Brava (2012)]
5) Não vou poder matar sua saudade mais Meu hoje me impede de voltar atrás Você foi uma fase boa, mas passou Você quer o que eu era, e aquele eu mudou Meus filhos tão dormindo aqui Imagina essa imagem Eu te desejo isso, mas com outro personagem Não me manda mais mensagem [Outro Personagem — Henrique &amp; Juliano (2025)]</t>
  </si>
  <si>
    <t>Validação dos macro-tópicos - Anotador 1</t>
  </si>
  <si>
    <t>Instrução</t>
  </si>
  <si>
    <t>Para cada macro-tópico, leia o rótulo, as palavras e as 5 estrofes. Preencha apenas as colunas Nota 1-5, Sugestão de rótulo e Comentários. Não discuta suas respostas com outros anotadores antes de finalizar.</t>
  </si>
  <si>
    <t>Nota 1-5</t>
  </si>
  <si>
    <t>Sugestão de rótulo</t>
  </si>
  <si>
    <t>Comentários</t>
  </si>
  <si>
    <t>Bar, família e sociabilidade</t>
  </si>
  <si>
    <t>Validação dos macro-tópicos - Anotador 2</t>
  </si>
  <si>
    <t>Sou pouco criativo pra sugerir rótulos, só me chamou atenção esse rótulo 0 com o 3. Não sei como tu vai modelar essa busca, mas notei que no 3 tu usa volta e outro como palavras representativas e essas duas aparecem aqui na amostra 1)"Volta" e 3)"outra". Imagino que tu vá considerar trechos que tenham mais que uma palavra chave pra classificar, mas fica o comentário. Preenchendo aqui fiquei com dúvida se teu foco é analisar/encontrar trechos das músicas ou rotular o contexto geral da música como um todo.</t>
  </si>
  <si>
    <t>Trecho 4) me remeteu ao rótulo 6, falando de desejo e corpo, mas entendo que o foco são as citações de imagens poéticas da natureza.</t>
  </si>
  <si>
    <t>trecho 3) me passa mais o rótulo 1, por entender mais tratar de paixão e sofrimento amoroso.</t>
  </si>
  <si>
    <t xml:space="preserve">Achei mais adequado esse rótulo atualizado, mas ainda sinto que o trecho 2) me passa uma vibe mais de jogo afetivo e disputa amorosa (rótulo 5), talvez , acho complexo e estou problematizando pra ter o debate . Estou escrevendo percepções minhas, sem base extra alguma, mas sertanejo me parece difícil de separar certos assuntos, visto que se misturam muito entre situações amorosas. </t>
  </si>
  <si>
    <t>o trecho 2) tive dificuldade de citar onde encaixaria, mas sinto que fica entre 8 (ex relacionamento e superação) e o próprio 9, pois entendo encaixá-lo em "decisão e mudança de vida". Como comentei acima acho alguns rótulos muito próximos, com diferenças sutis.</t>
  </si>
  <si>
    <t>Validação dos macro-tópicos - Anotador 3</t>
  </si>
  <si>
    <t>As amostras condizem com o rótulo, só não dei 5 porque a última parece não estar tanto no tópico "término", mas se encaixa nos outros.</t>
  </si>
  <si>
    <t>Mesmo comentário de cima, mas aqui acho que a amostra 4 não se encaixa muito no tópico "corpo", apesar de falar em carinho, as outras se encaixam perfeitamente.</t>
  </si>
  <si>
    <t>Acho que todas amostras estão no campo dos rótulos, mas percebi que "tempo" neste rótulo pode ter dois sentidos: cronológico (amostras 2 e 3) e meteorológico (amostra 4).</t>
  </si>
  <si>
    <t>Perfeito.</t>
  </si>
  <si>
    <t>Acho que os grupos 0, 3 e 5, apesar de reconhecer que merecem grupos separados, estão muito próximos entre si. Dei 3 por conta disso, das amostras aqui eu acho que a 2 pertence mais ao grupo 0 (término e sofrimento) do que ao 5 (jogos e disputa).</t>
  </si>
  <si>
    <t>Acho que 5 porque reconheço que todas amostras formam mesmo um grupo, mas não entendi o contexto de "família" neste grupo, seria tipo "família" de amigos?</t>
  </si>
  <si>
    <t>Este grupo apesar de ter a ver com término, está distante do 0, 3 e 5 que eu mencionei acima porque eu percebo que fala de "ex" sem a vontade de voltar, já superado.</t>
  </si>
  <si>
    <t>Este grupo é muito parecido com o de cima, mas acho que aqui estão falando mais de resignação, enquanto em cima é superação, passado. Enfim, bem próximos o 8 e o 9.</t>
  </si>
  <si>
    <t>Validação dos macro-tópicos - Anotador 4</t>
  </si>
  <si>
    <t>esse parece ser o grupo menos clusterizado, não parece ter tanta proximidade entre os itens.</t>
  </si>
  <si>
    <t>Nota A1</t>
  </si>
  <si>
    <t>Nota A2</t>
  </si>
  <si>
    <t>Nota A3</t>
  </si>
  <si>
    <t>Nota A4</t>
  </si>
  <si>
    <t>Média</t>
  </si>
  <si>
    <t>Desvio padrão</t>
  </si>
  <si>
    <t>Qtd notas &gt;=4</t>
  </si>
  <si>
    <t>Status</t>
  </si>
  <si>
    <t>Indicador</t>
  </si>
  <si>
    <t>Fórmula/valor</t>
  </si>
  <si>
    <t>Média geral</t>
  </si>
  <si>
    <t>Macro-tópicos validados</t>
  </si>
  <si>
    <t>Macro-tópicos a revisar</t>
  </si>
  <si>
    <t>Macro-tópicos não validados</t>
  </si>
  <si>
    <t>Pendentes</t>
  </si>
  <si>
    <t>Critério</t>
  </si>
  <si>
    <t>Validado = média &gt;= 4,0 e pelo menos 4 de 6 notas &gt;=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</si>
</sst>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3.0"/>
      <color rgb="FFFFFFFF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CCFBF1"/>
        <bgColor rgb="FFCCFBF1"/>
      </patternFill>
    </fill>
    <fill>
      <patternFill patternType="solid">
        <fgColor rgb="FFE2E8F0"/>
        <bgColor rgb="FFE2E8F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2" fontId="5" numFmtId="0" xfId="0" applyAlignment="1" applyFont="1">
      <alignment horizontal="center"/>
    </xf>
    <xf borderId="0" fillId="3" fontId="2" numFmtId="0" xfId="0" applyAlignment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4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 shrinkToFit="0" vertical="top" wrapText="1"/>
    </xf>
    <xf borderId="0" fillId="2" fontId="5" numFmtId="0" xfId="0" applyAlignment="1" applyFont="1">
      <alignment horizontal="center" readingOrder="0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0" fontId="3" numFmtId="2" xfId="0" applyAlignment="1" applyFont="1" applyNumberFormat="1">
      <alignment horizontal="center" shrinkToFit="0" vertical="top" wrapText="1"/>
    </xf>
    <xf borderId="0" fillId="0" fontId="6" numFmtId="0" xfId="0" applyFont="1"/>
    <xf borderId="0" fillId="3" fontId="2" numFmtId="0" xfId="0" applyFont="1"/>
    <xf borderId="0" fillId="0" fontId="3" numFmtId="2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105.0"/>
    <col customWidth="1" min="3" max="26" width="8.63"/>
  </cols>
  <sheetData>
    <row r="1" ht="33.0" customHeight="1">
      <c r="A1" s="1" t="s">
        <v>0</v>
      </c>
    </row>
    <row r="2" ht="26.25" customHeight="1">
      <c r="A2" s="2" t="s">
        <v>1</v>
      </c>
      <c r="B2" s="3" t="s">
        <v>2</v>
      </c>
    </row>
    <row r="3" ht="15.0" customHeight="1">
      <c r="A3" s="2" t="s">
        <v>3</v>
      </c>
      <c r="B3" s="3" t="s">
        <v>4</v>
      </c>
    </row>
    <row r="4" ht="15.0" customHeight="1">
      <c r="A4" s="2" t="s">
        <v>5</v>
      </c>
      <c r="B4" s="3" t="s">
        <v>6</v>
      </c>
    </row>
    <row r="5" ht="26.25" customHeight="1">
      <c r="A5" s="2" t="s">
        <v>7</v>
      </c>
      <c r="B5" s="3" t="s">
        <v>8</v>
      </c>
    </row>
    <row r="6" ht="15.0" customHeight="1">
      <c r="A6" s="2" t="s">
        <v>9</v>
      </c>
      <c r="B6" s="3" t="s">
        <v>10</v>
      </c>
    </row>
    <row r="7" ht="15.0" customHeight="1">
      <c r="A7" s="4" t="s">
        <v>11</v>
      </c>
      <c r="B7" s="3" t="s">
        <v>12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5.0"/>
    <col customWidth="1" min="3" max="3" width="55.0"/>
    <col customWidth="1" min="4" max="4" width="22.0"/>
    <col customWidth="1" min="5" max="5" width="100.0"/>
    <col customWidth="1" min="6" max="26" width="8.63"/>
  </cols>
  <sheetData>
    <row r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</row>
    <row r="2" ht="150.0" customHeight="1">
      <c r="A2" s="6">
        <v>0.0</v>
      </c>
      <c r="B2" s="3" t="s">
        <v>18</v>
      </c>
      <c r="C2" s="3" t="s">
        <v>19</v>
      </c>
      <c r="D2" s="3" t="s">
        <v>20</v>
      </c>
      <c r="E2" s="3" t="s">
        <v>21</v>
      </c>
    </row>
    <row r="3" ht="150.0" customHeight="1">
      <c r="A3" s="6">
        <v>1.0</v>
      </c>
      <c r="B3" s="3" t="s">
        <v>22</v>
      </c>
      <c r="C3" s="3" t="s">
        <v>23</v>
      </c>
      <c r="D3" s="3" t="s">
        <v>24</v>
      </c>
      <c r="E3" s="3" t="s">
        <v>25</v>
      </c>
    </row>
    <row r="4" ht="150.0" customHeight="1">
      <c r="A4" s="6">
        <v>2.0</v>
      </c>
      <c r="B4" s="3" t="s">
        <v>26</v>
      </c>
      <c r="C4" s="3" t="s">
        <v>27</v>
      </c>
      <c r="D4" s="3" t="s">
        <v>28</v>
      </c>
      <c r="E4" s="3" t="s">
        <v>29</v>
      </c>
    </row>
    <row r="5" ht="150.0" customHeight="1">
      <c r="A5" s="6">
        <v>3.0</v>
      </c>
      <c r="B5" s="3" t="s">
        <v>30</v>
      </c>
      <c r="C5" s="3" t="s">
        <v>31</v>
      </c>
      <c r="D5" s="3" t="s">
        <v>32</v>
      </c>
      <c r="E5" s="3" t="s">
        <v>33</v>
      </c>
    </row>
    <row r="6" ht="150.0" customHeight="1">
      <c r="A6" s="6">
        <v>4.0</v>
      </c>
      <c r="B6" s="3" t="s">
        <v>34</v>
      </c>
      <c r="C6" s="3" t="s">
        <v>35</v>
      </c>
      <c r="D6" s="3" t="s">
        <v>36</v>
      </c>
      <c r="E6" s="3" t="s">
        <v>37</v>
      </c>
    </row>
    <row r="7" ht="150.0" customHeight="1">
      <c r="A7" s="6">
        <v>5.0</v>
      </c>
      <c r="B7" s="3" t="s">
        <v>38</v>
      </c>
      <c r="C7" s="3" t="s">
        <v>39</v>
      </c>
      <c r="D7" s="3" t="s">
        <v>40</v>
      </c>
      <c r="E7" s="3" t="s">
        <v>41</v>
      </c>
    </row>
    <row r="8" ht="150.0" customHeight="1">
      <c r="A8" s="6">
        <v>6.0</v>
      </c>
      <c r="B8" s="3" t="s">
        <v>42</v>
      </c>
      <c r="C8" s="3" t="s">
        <v>43</v>
      </c>
      <c r="D8" s="3" t="s">
        <v>44</v>
      </c>
      <c r="E8" s="3" t="s">
        <v>45</v>
      </c>
    </row>
    <row r="9" ht="150.0" customHeight="1">
      <c r="A9" s="6">
        <v>7.0</v>
      </c>
      <c r="B9" s="3" t="s">
        <v>46</v>
      </c>
      <c r="C9" s="3" t="s">
        <v>47</v>
      </c>
      <c r="D9" s="3" t="s">
        <v>48</v>
      </c>
      <c r="E9" s="3" t="s">
        <v>49</v>
      </c>
    </row>
    <row r="10" ht="150.0" customHeight="1">
      <c r="A10" s="6">
        <v>8.0</v>
      </c>
      <c r="B10" s="3" t="s">
        <v>50</v>
      </c>
      <c r="C10" s="3" t="s">
        <v>51</v>
      </c>
      <c r="D10" s="3" t="s">
        <v>52</v>
      </c>
      <c r="E10" s="3" t="s">
        <v>53</v>
      </c>
    </row>
    <row r="11" ht="150.0" customHeight="1">
      <c r="A11" s="6">
        <v>9.0</v>
      </c>
      <c r="B11" s="3" t="s">
        <v>54</v>
      </c>
      <c r="C11" s="3" t="s">
        <v>55</v>
      </c>
      <c r="D11" s="3" t="s">
        <v>56</v>
      </c>
      <c r="E11" s="3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0.0"/>
    <col customWidth="1" min="3" max="3" width="48.0"/>
    <col customWidth="1" min="4" max="4" width="90.0"/>
    <col customWidth="1" min="5" max="5" width="12.0"/>
    <col customWidth="1" min="6" max="6" width="28.0"/>
    <col customWidth="1" min="7" max="7" width="35.0"/>
    <col customWidth="1" min="8" max="26" width="8.63"/>
  </cols>
  <sheetData>
    <row r="1">
      <c r="A1" s="7" t="s">
        <v>58</v>
      </c>
    </row>
    <row r="2">
      <c r="A2" s="8" t="s">
        <v>59</v>
      </c>
      <c r="B2" s="3" t="s">
        <v>60</v>
      </c>
      <c r="C2" s="9"/>
      <c r="D2" s="3"/>
      <c r="E2" s="3"/>
      <c r="F2" s="3"/>
      <c r="G2" s="3"/>
    </row>
    <row r="4">
      <c r="A4" s="10" t="s">
        <v>13</v>
      </c>
      <c r="B4" s="10" t="s">
        <v>14</v>
      </c>
      <c r="C4" s="10" t="s">
        <v>15</v>
      </c>
      <c r="D4" s="10" t="s">
        <v>17</v>
      </c>
      <c r="E4" s="10" t="s">
        <v>61</v>
      </c>
      <c r="F4" s="10" t="s">
        <v>62</v>
      </c>
      <c r="G4" s="10" t="s">
        <v>63</v>
      </c>
    </row>
    <row r="5">
      <c r="A5" s="6">
        <v>0.0</v>
      </c>
      <c r="B5" s="3" t="s">
        <v>18</v>
      </c>
      <c r="C5" s="3" t="s">
        <v>19</v>
      </c>
      <c r="D5" s="3" t="s">
        <v>21</v>
      </c>
      <c r="E5" s="11">
        <v>5.0</v>
      </c>
      <c r="F5" s="3"/>
      <c r="G5" s="3"/>
    </row>
    <row r="6">
      <c r="A6" s="6">
        <v>1.0</v>
      </c>
      <c r="B6" s="3" t="s">
        <v>22</v>
      </c>
      <c r="C6" s="3" t="s">
        <v>23</v>
      </c>
      <c r="D6" s="3" t="s">
        <v>25</v>
      </c>
      <c r="E6" s="11">
        <v>5.0</v>
      </c>
      <c r="F6" s="3"/>
      <c r="G6" s="3"/>
    </row>
    <row r="7">
      <c r="A7" s="6">
        <v>2.0</v>
      </c>
      <c r="B7" s="3" t="s">
        <v>26</v>
      </c>
      <c r="C7" s="3" t="s">
        <v>27</v>
      </c>
      <c r="D7" s="3" t="s">
        <v>29</v>
      </c>
      <c r="E7" s="11">
        <v>4.0</v>
      </c>
      <c r="F7" s="3"/>
      <c r="G7" s="3"/>
    </row>
    <row r="8">
      <c r="A8" s="6">
        <v>3.0</v>
      </c>
      <c r="B8" s="3" t="s">
        <v>30</v>
      </c>
      <c r="C8" s="3" t="s">
        <v>31</v>
      </c>
      <c r="D8" s="3" t="s">
        <v>33</v>
      </c>
      <c r="E8" s="11">
        <v>4.0</v>
      </c>
      <c r="F8" s="3"/>
      <c r="G8" s="3"/>
    </row>
    <row r="9">
      <c r="A9" s="6">
        <v>4.0</v>
      </c>
      <c r="B9" s="3" t="s">
        <v>34</v>
      </c>
      <c r="C9" s="3" t="s">
        <v>35</v>
      </c>
      <c r="D9" s="3" t="s">
        <v>37</v>
      </c>
      <c r="E9" s="11">
        <v>5.0</v>
      </c>
      <c r="F9" s="3"/>
      <c r="G9" s="3"/>
    </row>
    <row r="10">
      <c r="A10" s="6">
        <v>5.0</v>
      </c>
      <c r="B10" s="3" t="s">
        <v>38</v>
      </c>
      <c r="C10" s="3" t="s">
        <v>39</v>
      </c>
      <c r="D10" s="3" t="s">
        <v>41</v>
      </c>
      <c r="E10" s="11">
        <v>5.0</v>
      </c>
      <c r="F10" s="3"/>
      <c r="G10" s="3"/>
    </row>
    <row r="11">
      <c r="A11" s="6">
        <v>6.0</v>
      </c>
      <c r="B11" s="3" t="s">
        <v>42</v>
      </c>
      <c r="C11" s="3" t="s">
        <v>43</v>
      </c>
      <c r="D11" s="3" t="s">
        <v>45</v>
      </c>
      <c r="E11" s="11">
        <v>5.0</v>
      </c>
      <c r="F11" s="3"/>
      <c r="G11" s="3"/>
    </row>
    <row r="12">
      <c r="A12" s="6">
        <v>7.0</v>
      </c>
      <c r="B12" s="9" t="s">
        <v>64</v>
      </c>
      <c r="C12" s="3" t="s">
        <v>47</v>
      </c>
      <c r="D12" s="3" t="s">
        <v>49</v>
      </c>
      <c r="E12" s="11">
        <v>5.0</v>
      </c>
      <c r="F12" s="3"/>
      <c r="G12" s="3"/>
    </row>
    <row r="13">
      <c r="A13" s="6">
        <v>8.0</v>
      </c>
      <c r="B13" s="3" t="s">
        <v>50</v>
      </c>
      <c r="C13" s="3" t="s">
        <v>51</v>
      </c>
      <c r="D13" s="3" t="s">
        <v>53</v>
      </c>
      <c r="E13" s="11">
        <v>5.0</v>
      </c>
      <c r="F13" s="3"/>
      <c r="G13" s="3"/>
    </row>
    <row r="14">
      <c r="A14" s="6">
        <v>9.0</v>
      </c>
      <c r="B14" s="3" t="s">
        <v>54</v>
      </c>
      <c r="C14" s="3" t="s">
        <v>55</v>
      </c>
      <c r="D14" s="3" t="s">
        <v>57</v>
      </c>
      <c r="E14" s="11">
        <v>5.0</v>
      </c>
      <c r="F14" s="3"/>
      <c r="G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E5:E14">
      <formula1>"1,2,3,4,5"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0.0"/>
    <col customWidth="1" min="3" max="3" width="48.0"/>
    <col customWidth="1" min="4" max="4" width="90.0"/>
    <col customWidth="1" min="5" max="5" width="12.0"/>
    <col customWidth="1" min="6" max="6" width="28.0"/>
    <col customWidth="1" min="7" max="7" width="35.0"/>
    <col customWidth="1" min="8" max="26" width="8.63"/>
  </cols>
  <sheetData>
    <row r="1">
      <c r="A1" s="12" t="s">
        <v>65</v>
      </c>
    </row>
    <row r="2">
      <c r="A2" s="8" t="s">
        <v>59</v>
      </c>
      <c r="B2" s="3" t="s">
        <v>60</v>
      </c>
      <c r="C2" s="9"/>
      <c r="D2" s="3"/>
      <c r="E2" s="3"/>
      <c r="F2" s="3"/>
      <c r="G2" s="3"/>
    </row>
    <row r="4">
      <c r="A4" s="10" t="s">
        <v>13</v>
      </c>
      <c r="B4" s="10" t="s">
        <v>14</v>
      </c>
      <c r="C4" s="10" t="s">
        <v>15</v>
      </c>
      <c r="D4" s="10" t="s">
        <v>17</v>
      </c>
      <c r="E4" s="10" t="s">
        <v>61</v>
      </c>
      <c r="F4" s="10" t="s">
        <v>62</v>
      </c>
      <c r="G4" s="10" t="s">
        <v>63</v>
      </c>
    </row>
    <row r="5">
      <c r="A5" s="6">
        <v>0.0</v>
      </c>
      <c r="B5" s="3" t="s">
        <v>18</v>
      </c>
      <c r="C5" s="3" t="s">
        <v>19</v>
      </c>
      <c r="D5" s="3" t="s">
        <v>21</v>
      </c>
      <c r="E5" s="11">
        <v>5.0</v>
      </c>
      <c r="F5" s="3"/>
      <c r="G5" s="9" t="s">
        <v>66</v>
      </c>
    </row>
    <row r="6">
      <c r="A6" s="6">
        <v>1.0</v>
      </c>
      <c r="B6" s="3" t="s">
        <v>22</v>
      </c>
      <c r="C6" s="3" t="s">
        <v>23</v>
      </c>
      <c r="D6" s="3" t="s">
        <v>25</v>
      </c>
      <c r="E6" s="11">
        <v>5.0</v>
      </c>
      <c r="F6" s="3"/>
      <c r="G6" s="3"/>
    </row>
    <row r="7">
      <c r="A7" s="6">
        <v>2.0</v>
      </c>
      <c r="B7" s="3" t="s">
        <v>26</v>
      </c>
      <c r="C7" s="3" t="s">
        <v>27</v>
      </c>
      <c r="D7" s="3" t="s">
        <v>29</v>
      </c>
      <c r="E7" s="11">
        <v>4.0</v>
      </c>
      <c r="F7" s="3"/>
      <c r="G7" s="9" t="s">
        <v>67</v>
      </c>
    </row>
    <row r="8">
      <c r="A8" s="6">
        <v>3.0</v>
      </c>
      <c r="B8" s="3" t="s">
        <v>30</v>
      </c>
      <c r="C8" s="3" t="s">
        <v>31</v>
      </c>
      <c r="D8" s="3" t="s">
        <v>33</v>
      </c>
      <c r="E8" s="11">
        <v>5.0</v>
      </c>
      <c r="F8" s="3"/>
      <c r="G8" s="3"/>
    </row>
    <row r="9">
      <c r="A9" s="6">
        <v>4.0</v>
      </c>
      <c r="B9" s="3" t="s">
        <v>34</v>
      </c>
      <c r="C9" s="3" t="s">
        <v>35</v>
      </c>
      <c r="D9" s="3" t="s">
        <v>37</v>
      </c>
      <c r="E9" s="11">
        <v>5.0</v>
      </c>
      <c r="F9" s="3"/>
      <c r="G9" s="3"/>
    </row>
    <row r="10">
      <c r="A10" s="6">
        <v>5.0</v>
      </c>
      <c r="B10" s="3" t="s">
        <v>38</v>
      </c>
      <c r="C10" s="3" t="s">
        <v>39</v>
      </c>
      <c r="D10" s="3" t="s">
        <v>41</v>
      </c>
      <c r="E10" s="11">
        <v>4.0</v>
      </c>
      <c r="F10" s="3"/>
      <c r="G10" s="9" t="s">
        <v>68</v>
      </c>
    </row>
    <row r="11">
      <c r="A11" s="6">
        <v>6.0</v>
      </c>
      <c r="B11" s="3" t="s">
        <v>42</v>
      </c>
      <c r="C11" s="3" t="s">
        <v>43</v>
      </c>
      <c r="D11" s="3" t="s">
        <v>45</v>
      </c>
      <c r="E11" s="11">
        <v>5.0</v>
      </c>
      <c r="F11" s="3"/>
      <c r="G11" s="3"/>
    </row>
    <row r="12">
      <c r="A12" s="6">
        <v>7.0</v>
      </c>
      <c r="B12" s="9" t="s">
        <v>64</v>
      </c>
      <c r="C12" s="3" t="s">
        <v>47</v>
      </c>
      <c r="D12" s="3" t="s">
        <v>49</v>
      </c>
      <c r="E12" s="11">
        <v>4.0</v>
      </c>
      <c r="F12" s="3"/>
      <c r="G12" s="9" t="s">
        <v>69</v>
      </c>
    </row>
    <row r="13">
      <c r="A13" s="6">
        <v>8.0</v>
      </c>
      <c r="B13" s="3" t="s">
        <v>50</v>
      </c>
      <c r="C13" s="3" t="s">
        <v>51</v>
      </c>
      <c r="D13" s="3" t="s">
        <v>53</v>
      </c>
      <c r="E13" s="11">
        <v>5.0</v>
      </c>
      <c r="F13" s="3"/>
      <c r="G13" s="3"/>
    </row>
    <row r="14">
      <c r="A14" s="6">
        <v>9.0</v>
      </c>
      <c r="B14" s="3" t="s">
        <v>54</v>
      </c>
      <c r="C14" s="3" t="s">
        <v>55</v>
      </c>
      <c r="D14" s="3" t="s">
        <v>57</v>
      </c>
      <c r="E14" s="11">
        <v>4.0</v>
      </c>
      <c r="F14" s="3"/>
      <c r="G14" s="9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E5:E14">
      <formula1>"1,2,3,4,5"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0.0"/>
    <col customWidth="1" min="3" max="3" width="48.0"/>
    <col customWidth="1" min="4" max="4" width="90.0"/>
    <col customWidth="1" min="5" max="5" width="12.0"/>
    <col customWidth="1" min="6" max="6" width="28.0"/>
    <col customWidth="1" min="7" max="7" width="35.0"/>
    <col customWidth="1" min="8" max="26" width="8.63"/>
  </cols>
  <sheetData>
    <row r="1">
      <c r="A1" s="12" t="s">
        <v>71</v>
      </c>
    </row>
    <row r="2">
      <c r="A2" s="8" t="s">
        <v>59</v>
      </c>
      <c r="B2" s="3" t="s">
        <v>60</v>
      </c>
      <c r="C2" s="9"/>
      <c r="D2" s="3"/>
      <c r="E2" s="3"/>
      <c r="F2" s="3"/>
      <c r="G2" s="3"/>
    </row>
    <row r="4">
      <c r="A4" s="10" t="s">
        <v>13</v>
      </c>
      <c r="B4" s="10" t="s">
        <v>14</v>
      </c>
      <c r="C4" s="10" t="s">
        <v>15</v>
      </c>
      <c r="D4" s="10" t="s">
        <v>17</v>
      </c>
      <c r="E4" s="10" t="s">
        <v>61</v>
      </c>
      <c r="F4" s="10" t="s">
        <v>62</v>
      </c>
      <c r="G4" s="10" t="s">
        <v>63</v>
      </c>
    </row>
    <row r="5" ht="169.5" customHeight="1">
      <c r="A5" s="6">
        <v>0.0</v>
      </c>
      <c r="B5" s="3" t="s">
        <v>18</v>
      </c>
      <c r="C5" s="3" t="s">
        <v>19</v>
      </c>
      <c r="D5" s="3" t="s">
        <v>21</v>
      </c>
      <c r="E5" s="11">
        <v>4.0</v>
      </c>
      <c r="F5" s="3"/>
      <c r="G5" s="9" t="s">
        <v>72</v>
      </c>
    </row>
    <row r="6" ht="169.5" customHeight="1">
      <c r="A6" s="6">
        <v>1.0</v>
      </c>
      <c r="B6" s="3" t="s">
        <v>22</v>
      </c>
      <c r="C6" s="3" t="s">
        <v>23</v>
      </c>
      <c r="D6" s="3" t="s">
        <v>25</v>
      </c>
      <c r="E6" s="11">
        <v>4.0</v>
      </c>
      <c r="F6" s="3"/>
      <c r="G6" s="9" t="s">
        <v>73</v>
      </c>
    </row>
    <row r="7" ht="169.5" customHeight="1">
      <c r="A7" s="6">
        <v>2.0</v>
      </c>
      <c r="B7" s="3" t="s">
        <v>26</v>
      </c>
      <c r="C7" s="3" t="s">
        <v>27</v>
      </c>
      <c r="D7" s="3" t="s">
        <v>29</v>
      </c>
      <c r="E7" s="11">
        <v>5.0</v>
      </c>
      <c r="F7" s="3"/>
      <c r="G7" s="9" t="s">
        <v>74</v>
      </c>
    </row>
    <row r="8" ht="169.5" customHeight="1">
      <c r="A8" s="6">
        <v>3.0</v>
      </c>
      <c r="B8" s="3" t="s">
        <v>30</v>
      </c>
      <c r="C8" s="3" t="s">
        <v>31</v>
      </c>
      <c r="D8" s="3" t="s">
        <v>33</v>
      </c>
      <c r="E8" s="11">
        <v>5.0</v>
      </c>
      <c r="F8" s="3"/>
      <c r="G8" s="9" t="s">
        <v>75</v>
      </c>
    </row>
    <row r="9" ht="169.5" customHeight="1">
      <c r="A9" s="6">
        <v>4.0</v>
      </c>
      <c r="B9" s="3" t="s">
        <v>34</v>
      </c>
      <c r="C9" s="3" t="s">
        <v>35</v>
      </c>
      <c r="D9" s="3" t="s">
        <v>37</v>
      </c>
      <c r="E9" s="11">
        <v>5.0</v>
      </c>
      <c r="F9" s="3"/>
      <c r="G9" s="9" t="s">
        <v>75</v>
      </c>
    </row>
    <row r="10" ht="169.5" customHeight="1">
      <c r="A10" s="6">
        <v>5.0</v>
      </c>
      <c r="B10" s="3" t="s">
        <v>38</v>
      </c>
      <c r="C10" s="3" t="s">
        <v>39</v>
      </c>
      <c r="D10" s="3" t="s">
        <v>41</v>
      </c>
      <c r="E10" s="11">
        <v>3.0</v>
      </c>
      <c r="F10" s="3"/>
      <c r="G10" s="9" t="s">
        <v>76</v>
      </c>
    </row>
    <row r="11" ht="169.5" customHeight="1">
      <c r="A11" s="6">
        <v>6.0</v>
      </c>
      <c r="B11" s="3" t="s">
        <v>42</v>
      </c>
      <c r="C11" s="3" t="s">
        <v>43</v>
      </c>
      <c r="D11" s="3" t="s">
        <v>45</v>
      </c>
      <c r="E11" s="11">
        <v>5.0</v>
      </c>
      <c r="F11" s="3"/>
      <c r="G11" s="9" t="s">
        <v>75</v>
      </c>
    </row>
    <row r="12" ht="169.5" customHeight="1">
      <c r="A12" s="6">
        <v>7.0</v>
      </c>
      <c r="B12" s="9" t="s">
        <v>64</v>
      </c>
      <c r="C12" s="3" t="s">
        <v>47</v>
      </c>
      <c r="D12" s="3" t="s">
        <v>49</v>
      </c>
      <c r="E12" s="11">
        <v>5.0</v>
      </c>
      <c r="F12" s="3"/>
      <c r="G12" s="9" t="s">
        <v>77</v>
      </c>
    </row>
    <row r="13" ht="169.5" customHeight="1">
      <c r="A13" s="6">
        <v>8.0</v>
      </c>
      <c r="B13" s="3" t="s">
        <v>50</v>
      </c>
      <c r="C13" s="3" t="s">
        <v>51</v>
      </c>
      <c r="D13" s="3" t="s">
        <v>53</v>
      </c>
      <c r="E13" s="11">
        <v>5.0</v>
      </c>
      <c r="F13" s="3"/>
      <c r="G13" s="9" t="s">
        <v>78</v>
      </c>
    </row>
    <row r="14" ht="169.5" customHeight="1">
      <c r="A14" s="6">
        <v>9.0</v>
      </c>
      <c r="B14" s="3" t="s">
        <v>54</v>
      </c>
      <c r="C14" s="3" t="s">
        <v>55</v>
      </c>
      <c r="D14" s="3" t="s">
        <v>57</v>
      </c>
      <c r="E14" s="11">
        <v>5.0</v>
      </c>
      <c r="F14" s="9"/>
      <c r="G14" s="9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E5:E14">
      <formula1>"1,2,3,4,5"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0.0"/>
    <col customWidth="1" min="3" max="3" width="48.0"/>
    <col customWidth="1" min="4" max="4" width="90.0"/>
    <col customWidth="1" min="5" max="5" width="12.0"/>
    <col customWidth="1" min="6" max="6" width="28.0"/>
    <col customWidth="1" min="7" max="7" width="35.0"/>
    <col customWidth="1" min="8" max="26" width="8.63"/>
  </cols>
  <sheetData>
    <row r="1">
      <c r="A1" s="12" t="s">
        <v>80</v>
      </c>
    </row>
    <row r="2">
      <c r="A2" s="8" t="s">
        <v>59</v>
      </c>
      <c r="B2" s="3" t="s">
        <v>60</v>
      </c>
      <c r="C2" s="9"/>
      <c r="D2" s="3"/>
      <c r="E2" s="3"/>
      <c r="F2" s="3"/>
      <c r="G2" s="3"/>
    </row>
    <row r="4">
      <c r="A4" s="10" t="s">
        <v>13</v>
      </c>
      <c r="B4" s="10" t="s">
        <v>14</v>
      </c>
      <c r="C4" s="10" t="s">
        <v>15</v>
      </c>
      <c r="D4" s="10" t="s">
        <v>17</v>
      </c>
      <c r="E4" s="10" t="s">
        <v>61</v>
      </c>
      <c r="F4" s="10" t="s">
        <v>62</v>
      </c>
      <c r="G4" s="10" t="s">
        <v>63</v>
      </c>
    </row>
    <row r="5" ht="169.5" customHeight="1">
      <c r="A5" s="6">
        <v>0.0</v>
      </c>
      <c r="B5" s="3" t="s">
        <v>18</v>
      </c>
      <c r="C5" s="3" t="s">
        <v>19</v>
      </c>
      <c r="D5" s="3" t="s">
        <v>21</v>
      </c>
      <c r="E5" s="11">
        <v>5.0</v>
      </c>
      <c r="F5" s="3"/>
      <c r="G5" s="3"/>
    </row>
    <row r="6" ht="197.25" customHeight="1">
      <c r="A6" s="6">
        <v>1.0</v>
      </c>
      <c r="B6" s="3" t="s">
        <v>22</v>
      </c>
      <c r="C6" s="3" t="s">
        <v>23</v>
      </c>
      <c r="D6" s="3" t="s">
        <v>25</v>
      </c>
      <c r="E6" s="11">
        <v>5.0</v>
      </c>
      <c r="F6" s="3"/>
      <c r="G6" s="3"/>
    </row>
    <row r="7" ht="197.25" customHeight="1">
      <c r="A7" s="6">
        <v>2.0</v>
      </c>
      <c r="B7" s="3" t="s">
        <v>26</v>
      </c>
      <c r="C7" s="3" t="s">
        <v>27</v>
      </c>
      <c r="D7" s="3" t="s">
        <v>29</v>
      </c>
      <c r="E7" s="11">
        <v>3.0</v>
      </c>
      <c r="F7" s="3"/>
      <c r="G7" s="3"/>
    </row>
    <row r="8" ht="169.5" customHeight="1">
      <c r="A8" s="6">
        <v>3.0</v>
      </c>
      <c r="B8" s="3" t="s">
        <v>30</v>
      </c>
      <c r="C8" s="3" t="s">
        <v>31</v>
      </c>
      <c r="D8" s="3" t="s">
        <v>33</v>
      </c>
      <c r="E8" s="11">
        <v>4.0</v>
      </c>
      <c r="F8" s="3"/>
      <c r="G8" s="3"/>
    </row>
    <row r="9" ht="169.5" customHeight="1">
      <c r="A9" s="6">
        <v>4.0</v>
      </c>
      <c r="B9" s="3" t="s">
        <v>34</v>
      </c>
      <c r="C9" s="3" t="s">
        <v>35</v>
      </c>
      <c r="D9" s="3" t="s">
        <v>37</v>
      </c>
      <c r="E9" s="11">
        <v>5.0</v>
      </c>
      <c r="F9" s="3"/>
      <c r="G9" s="3"/>
    </row>
    <row r="10" ht="233.25" customHeight="1">
      <c r="A10" s="6">
        <v>5.0</v>
      </c>
      <c r="B10" s="3" t="s">
        <v>38</v>
      </c>
      <c r="C10" s="3" t="s">
        <v>39</v>
      </c>
      <c r="D10" s="3" t="s">
        <v>41</v>
      </c>
      <c r="E10" s="11">
        <v>4.0</v>
      </c>
      <c r="F10" s="3"/>
      <c r="G10" s="3"/>
    </row>
    <row r="11" ht="213.75" customHeight="1">
      <c r="A11" s="6">
        <v>6.0</v>
      </c>
      <c r="B11" s="3" t="s">
        <v>42</v>
      </c>
      <c r="C11" s="3" t="s">
        <v>43</v>
      </c>
      <c r="D11" s="3" t="s">
        <v>45</v>
      </c>
      <c r="E11" s="11">
        <v>4.0</v>
      </c>
      <c r="F11" s="3"/>
      <c r="G11" s="3"/>
    </row>
    <row r="12" ht="208.5" customHeight="1">
      <c r="A12" s="6">
        <v>7.0</v>
      </c>
      <c r="B12" s="9" t="s">
        <v>64</v>
      </c>
      <c r="C12" s="3" t="s">
        <v>47</v>
      </c>
      <c r="D12" s="3" t="s">
        <v>49</v>
      </c>
      <c r="E12" s="11">
        <v>2.0</v>
      </c>
      <c r="F12" s="3"/>
      <c r="G12" s="9" t="s">
        <v>81</v>
      </c>
    </row>
    <row r="13" ht="210.0" customHeight="1">
      <c r="A13" s="6">
        <v>8.0</v>
      </c>
      <c r="B13" s="3" t="s">
        <v>50</v>
      </c>
      <c r="C13" s="3" t="s">
        <v>51</v>
      </c>
      <c r="D13" s="3" t="s">
        <v>53</v>
      </c>
      <c r="E13" s="11">
        <v>5.0</v>
      </c>
      <c r="F13" s="3"/>
      <c r="G13" s="3"/>
    </row>
    <row r="14" ht="207.75" customHeight="1">
      <c r="A14" s="6">
        <v>9.0</v>
      </c>
      <c r="B14" s="3" t="s">
        <v>54</v>
      </c>
      <c r="C14" s="3" t="s">
        <v>55</v>
      </c>
      <c r="D14" s="3" t="s">
        <v>57</v>
      </c>
      <c r="E14" s="11">
        <v>5.0</v>
      </c>
      <c r="F14" s="3"/>
      <c r="G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E5:E14">
      <formula1>"1,2,3,4,5"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5.0"/>
    <col customWidth="1" min="3" max="6" width="11.0"/>
    <col customWidth="1" min="7" max="8" width="14.0"/>
    <col customWidth="1" min="9" max="9" width="15.0"/>
    <col customWidth="1" min="10" max="10" width="18.0"/>
    <col customWidth="1" min="11" max="24" width="8.63"/>
  </cols>
  <sheetData>
    <row r="1">
      <c r="A1" s="13" t="s">
        <v>13</v>
      </c>
      <c r="B1" s="13" t="s">
        <v>14</v>
      </c>
      <c r="C1" s="13" t="s">
        <v>82</v>
      </c>
      <c r="D1" s="14" t="s">
        <v>83</v>
      </c>
      <c r="E1" s="14" t="s">
        <v>84</v>
      </c>
      <c r="F1" s="14" t="s">
        <v>85</v>
      </c>
      <c r="G1" s="13" t="s">
        <v>86</v>
      </c>
      <c r="H1" s="13" t="s">
        <v>87</v>
      </c>
      <c r="I1" s="13" t="s">
        <v>88</v>
      </c>
      <c r="J1" s="13" t="s">
        <v>89</v>
      </c>
    </row>
    <row r="2">
      <c r="A2" s="6">
        <v>0.0</v>
      </c>
      <c r="B2" s="3" t="s">
        <v>18</v>
      </c>
      <c r="C2" s="6">
        <f>Anotador_1!E5</f>
        <v>5</v>
      </c>
      <c r="D2" s="6">
        <f>Anotador_2!E5</f>
        <v>5</v>
      </c>
      <c r="E2" s="6">
        <f>Anotador_3!E5</f>
        <v>4</v>
      </c>
      <c r="F2" s="6">
        <f>Anotador_4!E5</f>
        <v>5</v>
      </c>
      <c r="G2" s="15">
        <f t="shared" ref="G2:G11" si="1">IF(COUNT(C2:F2)=0,"",AVERAGE(C2:F2))</f>
        <v>4.75</v>
      </c>
      <c r="H2" s="15">
        <f t="shared" ref="H2:H11" si="2">IF(COUNT(C2:F2)&lt;2,"",_xlfn.STDEV.S(C2:F2))</f>
        <v>0.5</v>
      </c>
      <c r="I2" s="6">
        <f t="shared" ref="I2:I11" si="3">COUNTIF(C2:F2,"&gt;=4")</f>
        <v>4</v>
      </c>
      <c r="J2" s="6" t="str">
        <f t="shared" ref="J2:J11" si="4">IF(COUNT(C2:F2)&lt;6,"Pendente",IF(AND(G2&gt;=4,I2&gt;=4),"Validado",IF(G2&gt;=3,"Revisar","Não validado")))</f>
        <v>Pendente</v>
      </c>
    </row>
    <row r="3">
      <c r="A3" s="6">
        <v>1.0</v>
      </c>
      <c r="B3" s="3" t="s">
        <v>22</v>
      </c>
      <c r="C3" s="6">
        <f>Anotador_1!E6</f>
        <v>5</v>
      </c>
      <c r="D3" s="6">
        <f>Anotador_2!E6</f>
        <v>5</v>
      </c>
      <c r="E3" s="6">
        <f>Anotador_3!E6</f>
        <v>4</v>
      </c>
      <c r="F3" s="6">
        <f>Anotador_4!E6</f>
        <v>5</v>
      </c>
      <c r="G3" s="15">
        <f t="shared" si="1"/>
        <v>4.75</v>
      </c>
      <c r="H3" s="15">
        <f t="shared" si="2"/>
        <v>0.5</v>
      </c>
      <c r="I3" s="6">
        <f t="shared" si="3"/>
        <v>4</v>
      </c>
      <c r="J3" s="6" t="str">
        <f t="shared" si="4"/>
        <v>Pendente</v>
      </c>
    </row>
    <row r="4">
      <c r="A4" s="6">
        <v>2.0</v>
      </c>
      <c r="B4" s="3" t="s">
        <v>26</v>
      </c>
      <c r="C4" s="6">
        <f>Anotador_1!E7</f>
        <v>4</v>
      </c>
      <c r="D4" s="6">
        <f>Anotador_2!E7</f>
        <v>4</v>
      </c>
      <c r="E4" s="6">
        <f>Anotador_3!E7</f>
        <v>5</v>
      </c>
      <c r="F4" s="6">
        <f>Anotador_4!E7</f>
        <v>3</v>
      </c>
      <c r="G4" s="15">
        <f t="shared" si="1"/>
        <v>4</v>
      </c>
      <c r="H4" s="15">
        <f t="shared" si="2"/>
        <v>0.8164965809</v>
      </c>
      <c r="I4" s="6">
        <f t="shared" si="3"/>
        <v>3</v>
      </c>
      <c r="J4" s="6" t="str">
        <f t="shared" si="4"/>
        <v>Pendente</v>
      </c>
    </row>
    <row r="5">
      <c r="A5" s="6">
        <v>3.0</v>
      </c>
      <c r="B5" s="3" t="s">
        <v>30</v>
      </c>
      <c r="C5" s="6">
        <f>Anotador_1!E8</f>
        <v>4</v>
      </c>
      <c r="D5" s="6">
        <f>Anotador_2!E8</f>
        <v>5</v>
      </c>
      <c r="E5" s="6">
        <f>Anotador_3!E8</f>
        <v>5</v>
      </c>
      <c r="F5" s="6">
        <f>Anotador_4!E8</f>
        <v>4</v>
      </c>
      <c r="G5" s="15">
        <f t="shared" si="1"/>
        <v>4.5</v>
      </c>
      <c r="H5" s="15">
        <f t="shared" si="2"/>
        <v>0.5773502692</v>
      </c>
      <c r="I5" s="6">
        <f t="shared" si="3"/>
        <v>4</v>
      </c>
      <c r="J5" s="6" t="str">
        <f t="shared" si="4"/>
        <v>Pendente</v>
      </c>
    </row>
    <row r="6">
      <c r="A6" s="6">
        <v>4.0</v>
      </c>
      <c r="B6" s="3" t="s">
        <v>34</v>
      </c>
      <c r="C6" s="6">
        <f>Anotador_1!E9</f>
        <v>5</v>
      </c>
      <c r="D6" s="6">
        <f>Anotador_2!E9</f>
        <v>5</v>
      </c>
      <c r="E6" s="6">
        <f>Anotador_3!E9</f>
        <v>5</v>
      </c>
      <c r="F6" s="6">
        <f>Anotador_4!E9</f>
        <v>5</v>
      </c>
      <c r="G6" s="15">
        <f t="shared" si="1"/>
        <v>5</v>
      </c>
      <c r="H6" s="15">
        <f t="shared" si="2"/>
        <v>0</v>
      </c>
      <c r="I6" s="6">
        <f t="shared" si="3"/>
        <v>4</v>
      </c>
      <c r="J6" s="6" t="str">
        <f t="shared" si="4"/>
        <v>Pendente</v>
      </c>
    </row>
    <row r="7">
      <c r="A7" s="6">
        <v>5.0</v>
      </c>
      <c r="B7" s="3" t="s">
        <v>38</v>
      </c>
      <c r="C7" s="6">
        <f>Anotador_1!E10</f>
        <v>5</v>
      </c>
      <c r="D7" s="6">
        <f>Anotador_2!E10</f>
        <v>4</v>
      </c>
      <c r="E7" s="6">
        <f>Anotador_3!E10</f>
        <v>3</v>
      </c>
      <c r="F7" s="6">
        <f>Anotador_4!E10</f>
        <v>4</v>
      </c>
      <c r="G7" s="15">
        <f t="shared" si="1"/>
        <v>4</v>
      </c>
      <c r="H7" s="15">
        <f t="shared" si="2"/>
        <v>0.8164965809</v>
      </c>
      <c r="I7" s="6">
        <f t="shared" si="3"/>
        <v>3</v>
      </c>
      <c r="J7" s="6" t="str">
        <f t="shared" si="4"/>
        <v>Pendente</v>
      </c>
    </row>
    <row r="8">
      <c r="A8" s="6">
        <v>6.0</v>
      </c>
      <c r="B8" s="3" t="s">
        <v>42</v>
      </c>
      <c r="C8" s="6">
        <f>Anotador_1!E11</f>
        <v>5</v>
      </c>
      <c r="D8" s="6">
        <f>Anotador_2!E11</f>
        <v>5</v>
      </c>
      <c r="E8" s="6">
        <f>Anotador_3!E11</f>
        <v>5</v>
      </c>
      <c r="F8" s="6">
        <f>Anotador_4!E11</f>
        <v>4</v>
      </c>
      <c r="G8" s="15">
        <f t="shared" si="1"/>
        <v>4.75</v>
      </c>
      <c r="H8" s="15">
        <f t="shared" si="2"/>
        <v>0.5</v>
      </c>
      <c r="I8" s="6">
        <f t="shared" si="3"/>
        <v>4</v>
      </c>
      <c r="J8" s="6" t="str">
        <f t="shared" si="4"/>
        <v>Pendente</v>
      </c>
    </row>
    <row r="9">
      <c r="A9" s="6">
        <v>7.0</v>
      </c>
      <c r="B9" s="9" t="s">
        <v>64</v>
      </c>
      <c r="C9" s="6">
        <f>Anotador_1!E12</f>
        <v>5</v>
      </c>
      <c r="D9" s="6">
        <f>Anotador_2!E12</f>
        <v>4</v>
      </c>
      <c r="E9" s="6">
        <f>Anotador_3!E12</f>
        <v>5</v>
      </c>
      <c r="F9" s="6">
        <f>Anotador_4!E12</f>
        <v>2</v>
      </c>
      <c r="G9" s="15">
        <f t="shared" si="1"/>
        <v>4</v>
      </c>
      <c r="H9" s="15">
        <f t="shared" si="2"/>
        <v>1.414213562</v>
      </c>
      <c r="I9" s="6">
        <f t="shared" si="3"/>
        <v>3</v>
      </c>
      <c r="J9" s="6" t="str">
        <f t="shared" si="4"/>
        <v>Pendente</v>
      </c>
    </row>
    <row r="10">
      <c r="A10" s="6">
        <v>8.0</v>
      </c>
      <c r="B10" s="3" t="s">
        <v>50</v>
      </c>
      <c r="C10" s="6">
        <f>Anotador_1!E13</f>
        <v>5</v>
      </c>
      <c r="D10" s="6">
        <f>Anotador_2!E13</f>
        <v>5</v>
      </c>
      <c r="E10" s="6">
        <f>Anotador_3!E13</f>
        <v>5</v>
      </c>
      <c r="F10" s="6">
        <f>Anotador_4!E13</f>
        <v>5</v>
      </c>
      <c r="G10" s="15">
        <f t="shared" si="1"/>
        <v>5</v>
      </c>
      <c r="H10" s="15">
        <f t="shared" si="2"/>
        <v>0</v>
      </c>
      <c r="I10" s="6">
        <f t="shared" si="3"/>
        <v>4</v>
      </c>
      <c r="J10" s="6" t="str">
        <f t="shared" si="4"/>
        <v>Pendente</v>
      </c>
    </row>
    <row r="11">
      <c r="A11" s="6">
        <v>9.0</v>
      </c>
      <c r="B11" s="3" t="s">
        <v>54</v>
      </c>
      <c r="C11" s="6">
        <f>Anotador_1!E14</f>
        <v>5</v>
      </c>
      <c r="D11" s="6">
        <f>Anotador_2!E14</f>
        <v>4</v>
      </c>
      <c r="E11" s="6">
        <f>Anotador_3!E14</f>
        <v>5</v>
      </c>
      <c r="F11" s="6">
        <f>Anotador_4!E14</f>
        <v>5</v>
      </c>
      <c r="G11" s="15">
        <f t="shared" si="1"/>
        <v>4.75</v>
      </c>
      <c r="H11" s="15">
        <f t="shared" si="2"/>
        <v>0.5</v>
      </c>
      <c r="I11" s="6">
        <f t="shared" si="3"/>
        <v>4</v>
      </c>
      <c r="J11" s="6" t="str">
        <f t="shared" si="4"/>
        <v>Pendente</v>
      </c>
    </row>
    <row r="12">
      <c r="C12" s="16">
        <f t="shared" ref="C12:F12" si="5">MEDIAN(C2:C11)</f>
        <v>5</v>
      </c>
      <c r="D12" s="16">
        <f t="shared" si="5"/>
        <v>5</v>
      </c>
      <c r="E12" s="16">
        <f t="shared" si="5"/>
        <v>5</v>
      </c>
      <c r="F12" s="16">
        <f t="shared" si="5"/>
        <v>4.5</v>
      </c>
    </row>
    <row r="14">
      <c r="A14" s="13" t="s">
        <v>90</v>
      </c>
      <c r="B14" s="13" t="s">
        <v>91</v>
      </c>
    </row>
    <row r="15">
      <c r="A15" s="17" t="s">
        <v>92</v>
      </c>
      <c r="B15" s="18">
        <f>IF(COUNT(G2:G11)=0,"",AVERAGE(G2:G11))</f>
        <v>4.55</v>
      </c>
    </row>
    <row r="16">
      <c r="A16" s="17" t="s">
        <v>93</v>
      </c>
      <c r="B16" s="19">
        <f>COUNTIF(J2:J11,"Validado")</f>
        <v>0</v>
      </c>
    </row>
    <row r="17">
      <c r="A17" s="17" t="s">
        <v>94</v>
      </c>
      <c r="B17" s="19">
        <f>COUNTIF(J2:J11,"Revisar")</f>
        <v>0</v>
      </c>
    </row>
    <row r="18">
      <c r="A18" s="17" t="s">
        <v>95</v>
      </c>
      <c r="B18" s="19">
        <f>COUNTIF(J2:J11,"Não validado")</f>
        <v>0</v>
      </c>
    </row>
    <row r="19">
      <c r="A19" s="17" t="s">
        <v>96</v>
      </c>
      <c r="B19" s="19">
        <f>COUNTIF(J2:J11,"Pendente")</f>
        <v>10</v>
      </c>
    </row>
    <row r="20">
      <c r="A20" s="17" t="s">
        <v>97</v>
      </c>
      <c r="B20" s="19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11">
    <cfRule type="expression" dxfId="0" priority="1">
      <formula>J2="Validado"</formula>
    </cfRule>
  </conditionalFormatting>
  <conditionalFormatting sqref="J2:J11">
    <cfRule type="expression" dxfId="1" priority="2">
      <formula>J2="Revisar"</formula>
    </cfRule>
  </conditionalFormatting>
  <conditionalFormatting sqref="J2:J11">
    <cfRule type="expression" dxfId="2" priority="3">
      <formula>J2="Não validado"</formula>
    </cfRule>
  </conditionalFormatting>
  <printOptions/>
  <pageMargins bottom="0.75" footer="0.0" header="0.0" left="0.7" right="0.7" top="0.75"/>
  <pageSetup orientation="landscape"/>
  <drawing r:id="rId1"/>
</worksheet>
</file>