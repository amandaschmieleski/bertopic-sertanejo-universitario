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oes" sheetId="1" r:id="rId5"/>
    <sheet state="visible" name="Itens_base" sheetId="2" r:id="rId6"/>
    <sheet state="visible" name="Anotador_1" sheetId="3" r:id="rId7"/>
    <sheet state="visible" name="Anotador_2" sheetId="4" r:id="rId8"/>
    <sheet state="visible" name="Anotador_3" sheetId="5" r:id="rId9"/>
    <sheet state="visible" name="Anotador_4" sheetId="6" r:id="rId10"/>
    <sheet state="visible" name="Consolidacao" sheetId="7" r:id="rId11"/>
  </sheets>
  <definedNames>
    <definedName hidden="1" localSheetId="6" name="_xlnm._FilterDatabase">Consolidacao!$A$1:$I$12</definedName>
  </definedNames>
  <calcPr/>
</workbook>
</file>

<file path=xl/sharedStrings.xml><?xml version="1.0" encoding="utf-8"?>
<sst xmlns="http://schemas.openxmlformats.org/spreadsheetml/2006/main" count="534" uniqueCount="170">
  <si>
    <t>Protocolo de validação humana dos macro-tópicos</t>
  </si>
  <si>
    <t>Macro_ID</t>
  </si>
  <si>
    <t>Rótulo proposto</t>
  </si>
  <si>
    <t>Validação dos macro-tópicos - Anotador 1</t>
  </si>
  <si>
    <t>Palavras representativas</t>
  </si>
  <si>
    <t>Tópicos originais</t>
  </si>
  <si>
    <t>Amostras de estrofes</t>
  </si>
  <si>
    <t>Validação dos macro-tópicos - Anotador 2</t>
  </si>
  <si>
    <t>Objetivo</t>
  </si>
  <si>
    <t>Verificar se os rótulos interpretativos dos 10 macro-tópicos representam adequadamente as palavras representativas do corte conceitual 0,90 e as estrofes amostradas.</t>
  </si>
  <si>
    <t>Instrução</t>
  </si>
  <si>
    <t>Paixão, sofrimento amoroso e término</t>
  </si>
  <si>
    <t>amo, amar, paixão, tempo, tudo, sei amo</t>
  </si>
  <si>
    <t>Avaliadores</t>
  </si>
  <si>
    <t>0, 4, 6, 9, 13, 15, 19</t>
  </si>
  <si>
    <t>Use 6 anotadores independentes. Não conte a autora como anotadora. No artigo, identifique-os apenas por perfil/código, não por nome.</t>
  </si>
  <si>
    <t>Para cada macro-tópico, leia o rótulo, as palavras e as 5 estrofes. Preencha apenas as colunas Nota 1-5, Sugestão de rótulo e Comentários. Não discuta suas respostas com outros anotadores antes de finalizar.</t>
  </si>
  <si>
    <t>Independência</t>
  </si>
  <si>
    <t>Os anotadores devem preencher a avaliação separadamente, sem conversar entre si sobre os itens antes de finalizar.</t>
  </si>
  <si>
    <t>1) Um amor de verdade não tem despedida Volta pra minha vida Deixa esse medo e venha o que vier Eu não vou desgrudar de você [Volta Pra Minha Vida — Jorge &amp; Mateus (2010)]
2) Eu vou curar essa dor E encontrar um novo amor Em um caminho sem rumo Vou levando a vida Em um caminho sem rumo Vou levando a vida [Vestígios — Jorge &amp; Mateus (2010)]
3) Um dia a gente se encontra E nada de chorar Mesmo sem você eu vou ser feliz Com outra pessoa vai me encontrar Vivendo aquele grande amor Que você nunca quis [Um Dia a Gente Se Encontra (part. João Bosco e Vinicius) — Marcos &amp; Belutti (2011)]
4) Só o silencio ficou entre nós A indiferença calou nossa voz O nosso amor foi ficando esquecido Só a tristeza sorriu pra nós dois A felicidade ficou pra depois Pena que tudo foi tempo perdido [Tempo Perdido — Zezé Di Camargo &amp; Luciano (2006)]
5) Um beijo fala mais que mil palavras Um toque é bem mais que poesia No seu olhar enxergo a sua alma Sua fala é uma linda melodia Ninguém sabe explicar o que é o amor Ninguém vai ser feliz sem ser amado Meu coração de vez se entregou Confesso que eu estou apaixonado [Um Beijo — Luan Santana (2011)]</t>
  </si>
  <si>
    <t>Material por item</t>
  </si>
  <si>
    <t>Cada item mostra: ID do macro-tópico, rótulo proposto, palavras representativas do corte conceitual 0,90 e 5 estrofes amostradas do agrupamento.</t>
  </si>
  <si>
    <t>Corpo, desejo e afeto</t>
  </si>
  <si>
    <t>corpo, acordar, dose, sinto, choro, dormir</t>
  </si>
  <si>
    <t>Escala 1-5</t>
  </si>
  <si>
    <t>1, 2, 8, 21</t>
  </si>
  <si>
    <t>1 = não representa; 2 = representa pouco; 3 = representa parcialmente; 4 = representa bem; 5 = representa muito bem.</t>
  </si>
  <si>
    <t>Critério por macro-tópico</t>
  </si>
  <si>
    <t>1) Os nossos corpos se completam mesmo estando longe Em pensamento eu vou te buscar Dá calafrio, um arrepio ao lembrar seu cheiro Pela porta do quarto entrar [Calafrio — Henrique &amp; Juliano (2014)]
2) E nas curvas do seu corpo Invadir a contramão Dar de frente com seu peito SOS coração [Contramão — Gustavo Mioto (2017)]
3) Tenho, às vezes, que pedir um beijo Controlar os meus desejos Esperar por um abraço Pra curar o meu cansaço E um carinho no meu rosto Nem sei quanto tempo faz [Você Mudou Demais — Marília Mendonça (2025)]
4) Os dez mandamentos do amor Para conquistar uma mulher Tem que ter carinho, tem que ter jeitinho Tem que dar aquilo que ela quer [Os 10 Mandamentos do Amor — Eduardo Costa (2013)]
5) Botei a melhor roupa pra esconder os meus defeitos Exagerei no perfume pra te impressionar Cheguei mais cedo pra te ver chegar [Atrasadinha (part. Ferrugem) — Felipe Araújo (2019)]</t>
  </si>
  <si>
    <t>Rótulo validado se média &gt;= 4,0 e pelo menos 4 dos 6 anotadores derem nota &gt;= 4.</t>
  </si>
  <si>
    <t>Imagens poéticas de natureza, tempo e céu</t>
  </si>
  <si>
    <t>lua, sol, céu, estrelas, sonhar, voar</t>
  </si>
  <si>
    <t>3, 22, 32, 37</t>
  </si>
  <si>
    <t>1) Até mesmo as sete ondas E os fogos no céu Sabia o que eu ia pedir pro Papai Noel Era você, eh, eh, iêh, eh, eh, iêh, iêh, iêh [1° de Janeiro — Nilson Neto (2024)]
2) O tempo passa depressa quando estou com você As horas viram minutos, não consigo entender E o que eu mais quero é viver ao seu lado Cada segundo, amor [60 Segundos — Gusttavo Lima (2011)]
3) Percebo que o tempo já não passa Você diz que não tem graça amar assim Foi tudo tão bonito, mas voou pro infinito Parecido com borboletas de um jardim [Borboletas — Victor &amp; Leo (2008)]
4) E quando a chuva não batia na minha janela Não podia dormir, te esperava, buscava Teu corpo, teu cheiro sumiu em um mar de dor [Agora (Ahora) — Bruno &amp; Marrone (2014)]
5) Vamos fazer desse lugar, nosso céu particular Deixa o povo perguntar onde será que a gente tá Vamos fazer desse lugar, nosso céu particular Porque o melhor lugar é onde você está [Céu Particular — Henrique &amp; Juliano (2014)]</t>
  </si>
  <si>
    <t>Nota 1-5</t>
  </si>
  <si>
    <t>Sugestão de rótulo</t>
  </si>
  <si>
    <t>Reconciliação, volta e incerteza afetiva</t>
  </si>
  <si>
    <t>Comentários</t>
  </si>
  <si>
    <t>volta, será, povo, ninguém, outro, será rolar</t>
  </si>
  <si>
    <t>10, 11, 29, 31</t>
  </si>
  <si>
    <t>A</t>
  </si>
  <si>
    <t>1) Não dá mais Não dá pra enganar ou querer fugir Não dá mais Se esse sentimento vai crescendo em mim Mas tenho que encarar essa decisão De me confessar e abrir meu coração [Aqui É o Seu Lugar — Luan Santana (2009)]
2) Mas decidi que assim não dá Que é contigo o meu lugar Me perdoa por favor [Coração Bandido (part. Maiara &amp; Maraisa) — Marília Mendonça (2020)]
3) Eu não sei dizer se este amor Vai voltar a ser o que já foi Não sei se depois que amanhecer Nós vamos saber o que fazer Se vai me julgar mais uma vez Não pergunte coisas que eu não sei Coisas que eu não sei [Já Não Sei Mais Nada (Yo No Se Mañana) — Bruno &amp; Marrone (2011)]
4) Será que vai rolar da gente ficar? Será, será? Eu quero é tentar Será que vai rolar da gente ficar? Será, será? Eu quero é tentar [Será Que Vai Rolar? — Marcos &amp; Belutti (2010)]
5) Melhor não dizer nada Enquanto pensa No que vai fazer da vida Pode ser que você pegue Um caminho sem saída E não tenha outro jeito A não ser voltar pra mim [Pedras — Zezé Di Camargo (2022)]</t>
  </si>
  <si>
    <t>Espiritualidade, cuidado e proteção</t>
  </si>
  <si>
    <t>deus, coloca, senhor, cuidado, pé, chão</t>
  </si>
  <si>
    <t>5, 25</t>
  </si>
  <si>
    <t>1) Pai, eu sei, o tempo é implacável Afasta os nossos corpos, mas aproxima o coração O seu nome é sempre lembrado Com um verso, eu falo de você sempre na oração [11 Vidas — Lucas Lucco (2014)]
2) De olho aberto ou fechado, eu só vejo você Sua missão no mundo deve ser me proteger Cê é tipo um anjo moderno de roupa e sem asas Que fez desse meu coração, seu céu, sua casa [Anjo Moderno — Jorge &amp; Mateus (2018)]
3) Deus criou pra cada um seu próprio dom Junto com cada talento uma missão Pra uns a força, astúcia, a fama e o poder Pra outros deu a inquietude do saber [Criação Divina (part. Paula Fernandes) — Zezé Di Camargo &amp; Luciano (2012)]
4) Eu vou subir, eu vou subir Quem vai subir, quem vai subir Jesus já vai voltar esse povo vai levar E lá na Glória Santo santo nós vamos cantar [Dependente — Alisson Santos (2019)]
5) Quem vai me acalmar, me suportar E adoçar meus beijos Você que é meu anjo Só você que é meu anjo protetor [Anjo Protetor — Eduardo Costa (2012)]</t>
  </si>
  <si>
    <t>Jogos afetivos e disputa amorosa</t>
  </si>
  <si>
    <t>fora, jogo, jogado, jogando, fogo, lance</t>
  </si>
  <si>
    <t>7, 35</t>
  </si>
  <si>
    <t>1) Cansei de esperar na janela de casa Me enchi do seu jogo agora vou me virar Não quero mais lágrimas na minha vida [A Fila Andou — Maria Cecília e Rodolfo (2008)]
2) Tô aqui jogado fora Ela não quer mais me ver Vacilei, pisei na bola E ela me deu o fora Tô perdido sem você [Aceita Que Dói Menos (part. Marília Mendonça) — Trio Parada Dura (2017)]
3) Amiga não tô dando fora no seu coração Mas nós estamos misturando amizade e paixão Amizade e paixão [Amiga Linda — João Bosco &amp; Vinícius (2015)]
4) Eu já perdi o jogo, já perdi o norte Sei que no amor também não tô com sorte Tô roendo o toco, tô rindo pra não chorar Essa indiferença, paixão dividida Agora cada um segue a sua vida De hoje em diante é eu pra cá, você pra lá [Castigo — Jorge &amp; Mateus (2007)]
5) Pode brincar Eu te conheço, sei jogar teu jogo Sei que você vai se queimar Sei que não aguenta fogo e vai quebrar a cara Quando me ver escapando entre seus dedos Ou dividindo os meus segredos com outra pessoa Hoje eu acordei gostando mais de mim Vou cair fora numa boa [O Mundo É Tão Pequeno — Jorge &amp; Mateus (2009)]</t>
  </si>
  <si>
    <t>Comunicação, recaída e recomeço</t>
  </si>
  <si>
    <t>celular, internet, mensagem, fila anda, lento, fila</t>
  </si>
  <si>
    <t>12, 28</t>
  </si>
  <si>
    <t>1) Tá me achando com cara de bobo? Por que tá me ligando de novo? Dessa vez eu só tô te atendendo pra dizer Que ontem foi a nossa última vez [Abre o Portão Que Eu Cheguei — Gusttavo Lima (2016)]
2) A tela fria desse celular, só ver sua foto não vai me esquentar Amar você de longe é tão ruim Te quero ao vivo e a cores aqui, aqui [Ao Vivo E A Cores (part. Anitta) — Matheus &amp; Kauan (2018)]
3) Oh, baby, me atende Ai que vontade de tacar meu celular na parede, ai que vontade Oh, baby, me atende Ai que vontade de jogar meu celular na parede [Baby Me Atende (part. Dilsinho) — Matheus Fernandes (2021)]
4) Parece que cê sente cheiro de bebida de longe Sabe que eu tô fraco Aí que entra seu nome na tela do celular Me perguntando: Aonde você tá? [Arranhão — Henrique &amp; Juliano (2021)]
5) Eu vou trocar meu celular num Nokia tijolão Que só manda mensagem e faz ligação Se eu ver mais um vídeo seu, sem eu, sendo feliz Certeza que a minha vida vai tá por um triz Me mata não! Essa internet virou arma na sua mão [Tijolão — Jorge &amp; Mateus (2020)]</t>
  </si>
  <si>
    <t>Sou pouco criativo pra sugerir rótulos, só me chamou atenção esse rótulo 0 com o 3. Não sei como tu vai modelar essa busca, mas notei que no 3 tu usa volta e outro como palavras representativas e essas duas aparecem aqui na amostra 1)"Volta" e 3)"outra". Imagino que tu vá considerar trechos que tenham mais que uma palavra chave pra classificar, mas fica o comentário. Preenchendo aqui fiquei com dúvida se teu foco é analisar/encontrar trechos das músicas ou rotular o contexto geral da música como um todo.</t>
  </si>
  <si>
    <t>B</t>
  </si>
  <si>
    <t>Bar, cabaré e sociabilidade</t>
  </si>
  <si>
    <t>bar, família, enquanto, virou, sai, homem</t>
  </si>
  <si>
    <t>18, 24</t>
  </si>
  <si>
    <t>1) Hoje ela frequenta O bar da faculdade Balada sertaneja E os pubs da cidade [A Bela e o Fera — Munhoz &amp; Mariano (2011)]
2) Marca com outro Um barzinho na sexta, um motel no domingo Mas aguenta os déjà-vu comigo Sua vida vai ser isso aí Enquanto não admitir que [DEJA VU (part. Ana Castela) — Luan Santana (2023)]
3) E quem me viu, se visse hoje não acreditaria Deixei o bar, agora é só sorveteria Só eu e ela quem diria Que o cachaceiro virou homem de família [Homem de Família — Gusttavo Lima (2016)]
4) Você achou que eu ia sofrer Mas eu tinha meu plano B Sabe de nada, a minha agenda tava disfarçada Lugar de homem era mulher Restaurante era cabaré Sabe de nada, foi enganada [Vai Vendo — Lucas Lucco (2015)]
5) Por causa de uma falsa amiga Deixou uma boa vida, pra morar no cabaré Passando de mão em mão, se vendendo por tostão Pra ficar com quem quiser [Mulher da Blusa Amarela — Amado Edílson (2009)]</t>
  </si>
  <si>
    <t>Ex-relacionamento, curtição e superação</t>
  </si>
  <si>
    <t>ex, acabou, ser ex, valorizando, engole, acabou amor</t>
  </si>
  <si>
    <t>16, 30</t>
  </si>
  <si>
    <t>C</t>
  </si>
  <si>
    <t>1) Você se lembra quando me pediu pra ir embora Dizendo que só queria curtir a vida agora Que cansou de namorar Que o negócio era festar [Ai Que Dó — Thaeme e Thiago (2011)]
2) Acabou, acabou, ooh Deixa eu seguir minha vida e segue a sua com outro Amizade com ex é desculpa de quem amou pouco, ooh [Amigo Da Minha Saudade — Henrique &amp; Juliano (2025)]
3) Prazer, eu sou a ex do seu atual Não me leve a mal Cê tá num beco sem saída Ele vai ferrar com a sua vida [Ex do Seu Atual — Naiara Azevedo (2016)]
4) E conta pra ele o que você fez Que uma mulher foda virou sua ex Quis ser o bichão, agora engole calado Outro valorizando o que era pra você ter valorizado [Mulher Foda — Simone Mendes (2024)]
5) Mudei os meus conceitos, me valorizei Saí pra balada, eu me libertei Dei a volta por cima e hoje eu te mostrei Minha nova namorada [Nova Namorada — Marcos &amp; Belutti (2011)]</t>
  </si>
  <si>
    <t>Perda, decisão e mudança de vida</t>
  </si>
  <si>
    <t>perdeu, dar, primeiro gente, saber acontecer, fugida, jeito</t>
  </si>
  <si>
    <t>20, 33</t>
  </si>
  <si>
    <t>Trecho 4) me remeteu ao rótulo 6, falando de desejo e corpo, mas entendo que o foco são as citações de imagens poéticas da natureza.</t>
  </si>
  <si>
    <t>1) Eu me perdi tentando acertar E sem saida comecei andar Por uma selva de perigos Não consegui escapar Eu precisava de uma bússola [A Bússola — Luan Santana (2011)]
2) Tirei o seu perfume da memória Botei ponto final na nossa história Eu já chorei, eu já sofri mas te esqueci Preciso ser feliz [A Fila Andou — Maria Cecília e Rodolfo (2008)]
3) Quando me perdi, você apareceu Me fazendo rir, do que aconteceu E de medo olhei tudo ao meu redor Só assim enxerguei que agora estou melhor [Esperando Na Janela — César Menotti &amp; Fabiano (2005)]
4) E eu já decidi que hoje eu vou sair Sem preocupar eu vou me divertir Já que agora eu não preciso me explicar E com certeza você vai ouvir falar [Lei do Desapego — Thiago Brava (2012)]
5) Não vou poder matar sua saudade mais Meu hoje me impede de voltar atrás Você foi uma fase boa, mas passou Você quer o que eu era, e aquele eu mudou Meus filhos tão dormindo aqui Imagina essa imagem Eu te desejo isso, mas com outro personagem Não me manda mais mensagem [Outro Personagem — Henrique &amp; Juliano (2025)]</t>
  </si>
  <si>
    <t>D</t>
  </si>
  <si>
    <t>E</t>
  </si>
  <si>
    <t>F</t>
  </si>
  <si>
    <t>trecho 3) me passa mais o rótulo 1, por entender mais tratar de paixão e sofrimento amoroso.</t>
  </si>
  <si>
    <t>G</t>
  </si>
  <si>
    <t>H</t>
  </si>
  <si>
    <t>Bar, família e sociabilidade</t>
  </si>
  <si>
    <t xml:space="preserve">Achei mais adequado esse rótulo atualizado, mas ainda sinto que o trecho 2) me passa uma vibe mais de jogo afetivo e disputa amorosa (rótulo 5), talvez , acho complexo e estou problematizando pra ter o debate . Estou escrevendo percepções minhas, sem base extra alguma, mas sertanejo me parece difícil de separar certos assuntos, visto que se misturam muito entre situações amorosas. </t>
  </si>
  <si>
    <t>I</t>
  </si>
  <si>
    <t>J</t>
  </si>
  <si>
    <t>o trecho 2) tive dificuldade de citar onde encaixaria, mas sinto que fica entre 8 (ex relacionamento e superação) e o próprio 9, pois entendo encaixá-lo em "decisão e mudança de vida". Como comentei acima acho alguns rótulos muito próximos, com diferenças sutis.</t>
  </si>
  <si>
    <t>K</t>
  </si>
  <si>
    <t>Carros e ostentação</t>
  </si>
  <si>
    <t>carro, amarelo, camaro, camaro amarelo, fiorino, mole</t>
  </si>
  <si>
    <t>1) E agora eu fiquei doce igual caramelo Tô tirando onda de Camaro amarelo E agora você diz: Vem cá que eu te quero Quando eu passo no Camaro amarelo [Camaro Amarelo — Munhoz &amp; Mariano (2011)]
2) De Land Rover é fácil, é mole, é lindo Quero ver jogar a gata no fundo da Fiorino De Land Rover é fácil, é mole, é lindo Quero ver tirar essa onda andando de Fiorino [Fiorino — Gabriel Gava (2012)]
3) Para alimentar a esperança o seu carro eu levarei Me perdoe por favor, quando me der seu amor o carro eu entregarei Quem estiver me ouvindo preste muita atenção O meu carro não tem placa mas vou dar a descrição É branco e tem uma loura charmosa na direção Dou o carro de presente a quem fizer a prisão [Apaixonado/ A Loira do Carro Branco (pot-pourri) — Luan Santana (2009)]
4) Suave na nave A gente sai de casa Um rolé no posto Só pra ver a mulherada Aqui tá muito fraco Vamo pro point da praça E pra ficar melhor É só abrir o porta mala E aí rola um esquenta Sempre antes da balada [As Mina Pira Na Balada — Gusttavo Lima (2012)]
5) Elas me falam que me querem Caí no meu papo, que os moleque já tão treinado Vários moleque na Silverado, engata o jet, pra dar jet em Balneário [Jet em Balneário (part. MC PH) — Ana Castela (2024)]</t>
  </si>
  <si>
    <t>a número 3 e 4 não tem ostentação</t>
  </si>
  <si>
    <t>L</t>
  </si>
  <si>
    <t>Conquista e vida no sertão</t>
  </si>
  <si>
    <t>gavião, pau, pau sei, paga pau, beijo, paga</t>
  </si>
  <si>
    <t>1) Ele disse que é gavião Que é gostosão e se acha bonito Ele disse que é gavião Que é gostosão e se acha bonito Gavião só dorme no pau Gavião só vive com o pinto no bico Gavião só dorme no pau Gavião só vive com o pinto no bico [O Gavião — Gino e Geno (2005)]
2) Eles paga pau Sei que eu tenho o mel Mais um dia normal (Pras menina de chapéu) Eles paga pau Sei que eu tenho o mel (mel) Mais um dia normal [As Cowgirl 👢 — Ana Castela (2025)]
3) E eu achei que eu tinha achado o beijo perfeito Mas a dona da boca que eu quero odeia rodeio Quando eu vi você, falei: Essa eu namoro na hora Mas peão não namora com moça que odeia roça [Cowboy Chora (part. Luan Pereira) — Rionegro &amp; Solimões (2025)]
4) Lá pras bandas de Ouro Fino levando gado selvagem Quando eu passo na porteira até vejo a sua imagem O seu rangido tão triste mais parece uma mensagem Daquele rosto trigueiro desejando-me boa viagem [O Menino da Porteira — Daniel (2009)]
5) Ligo no outro dia no estilo Don Juan Dormiu bem, meu amor? É domingo de manhã Vamos pegar uma praia, deu saudade do seu beijo Trato todas iguais, esse é meu defeito [Aquele  1% (part. Wesley Safadão) — Marcos &amp; Belutti (2015)]</t>
  </si>
  <si>
    <t xml:space="preserve">a número 1, 2 e 5 estão totalmente fora; 4 não tem conquista; </t>
  </si>
  <si>
    <t>M</t>
  </si>
  <si>
    <t>Cinema e romance</t>
  </si>
  <si>
    <t>filme, cinema, beijo amor, final, romance, bom</t>
  </si>
  <si>
    <t>1) Mas o último filme não chegou ao final A gente apagou bem na briga do casal Que depois de discutir vários assuntos Deram um beijo de amor, oh, oh E terminaram Um beijo de amor, oh, oh Deram um beijo de amor E terminaram juntos [Coisas de Quem Ama — Jorge &amp; Mateus (2015)]
2) Desliga esse abajur, que o show não precisa de luz Ação, romance ou suspense, a escolha é sua O filme é só pra arrumar desculpa O filme é só pra arrumar desculpa [5 KM — Henrique &amp; Juliano (2017)]
3) Eu, você, dois filhos e um cachorro Um edredom, um filme bom no frio de agosto Diz aí, cê topa? [Cê Topa? — Luan Santana (2013)]
4) E choro na dispensa No chuveiro quente Num filme de romance Disfarçadamente Mas não na frente de quem não traiu ninguém [Ela e Ela — Zé Neto e Cristiano (2023)]
5) Foi tudo como eu sonhei Ter você nos meus braços, pequena Te desejei Eu vi crescer um amor de cinema [Deixe o Tempo Ver — Humberto e Ronaldo (2009)]</t>
  </si>
  <si>
    <t>número 5: a palavra cinema é usada para descrever o tipo/grau de amor, não se refere ao cinema/filme.</t>
  </si>
  <si>
    <t>N</t>
  </si>
  <si>
    <t>Sensualidade, e dança</t>
  </si>
  <si>
    <t>doce, bomberman, lentamente, nhec, sarrando, santo santo</t>
  </si>
  <si>
    <t>1) Tô sarrando em você lentamente Eu tô sarrando em você lentamente Tô sarrando em você lentamente Tô sarrando em você lentamente [Mentalmente (part. MC Kevinho) — Naiara Azevedo (2017)]
2) Eu tô que nem o Pac Man Que nem o Pac Man Nhec nhec nhec Eu tô que nem o Pac Man Que nem o Pac Man Nhec nhec nhec [Pac Man — Lucas Lucco (2013)]
3) Se eu te pego, ãh Se eu te beijo, ãh Se eu te pego, ãh, ãh, ãh (2x) [Sinal Disfarçado (part. Zé Ricardo e Thiago) — Israel Novaes (2014)]
4) Uh tá querendo, uh tá querendo, uh tá querendo Cê tá querendo, vai [Tá Soltinha — Thiago Brava (2013)]
5) Bará, bará, bará, berê, berê, berê Bará, bará, bará, berê, berê, berê Bará, bará, bará, berê, berê, berê Cristiano Araújo fazendo bará, berê [Bara Bara (part. Bruno &amp; Marrone) — Cristiano Araújo (2012)]</t>
  </si>
  <si>
    <t>número 2: não se encaixa; número 3 não tem dança; número 4 não se encaixa; 5 não se encaixa</t>
  </si>
  <si>
    <t>O</t>
  </si>
  <si>
    <t>Festa e dança</t>
  </si>
  <si>
    <t>sedução</t>
  </si>
  <si>
    <t>dançar, arrocha, festa, arrocha arrocha, procurar amor, vem</t>
  </si>
  <si>
    <t>não rvejo relação das palavras repreentativas com vida no sertão...</t>
  </si>
  <si>
    <t>1) Cheguei na balada, doidinho pra biritar A galera tá no clima, todo mundo quer dançar Uma mina me chamou, e disse: Faz um tchu tcha tcha Perguntei o que é isso, ela disse: Eu vou te ensinar É uma dança sensual, em Goiânia já pegou Em Minas explodiu, em Tocantins já bombou No nordeste as mina faz, no verão vai pegar Então faz o tchu tcha tcha, o Brasil inteiro vai cantar [Eu Quero Tchu, Eu Quero Tcha — João Lucas e Marcelo (2012)]
2) Ela me falou que não sabe dançar Que ainda não tinha as manha de arrochar Falei fica tranquila que eu vou te ensinar E fácil toda vida não tem como não pegar [360 O Arrocha do Poder — Thiago Brava (2012)]
3) Aumente o som Pra ficar bom a nossa festa não tem hora pra acabar O teu sorriso abre as portas do paraíso Vem comigo pra gente dançar [A Hora É Agora — Jorge &amp; Mateus (2012)]
4) Gata, me liga, mais tarde tem balada Quero curtir com você na madrugada Dançar, pular que hoje vai rolar [Balada — Gusttavo Lima (2011)]
5) Hoje eu vou sair pra dançar E se a saudade me procurar, ninguém me viu Hoje eu acordei virada Tô do avesso e até minha lágrima sorriu [Avisa Que Eu Cheguei (part. Ivete Sangalo) — Naiara Azevedo (2017)]</t>
  </si>
  <si>
    <t>P</t>
  </si>
  <si>
    <t>Traição</t>
  </si>
  <si>
    <t>traição, solteiro, amarela, blusa amarela, mulher blusa, implorei</t>
  </si>
  <si>
    <t>1) Traição é traição, romance é romance Amor é amor e com você foi só um lance Traição é traição, romance é romance Amor é amor e com você foi só um lance [Coitado — Naiara Azevedo (2016)]
2) Se meu coração não é mais seu lugar, desocupa É loucura deixar um solteiro preso Se lugar de solteiro é na rua, no mei da bagunça Pegando gente nua Ou você me solta ou me segura [Desocupa (part. Cleber e Cauan) — Matheus Vargas (2025)]
3) Não pensava que aquela mulher da blusa amarela Me fizesse essa traição Mas o destino é cruel, ela deixou de ser fiel Pra viver de mão em mão [Mulher da Blusa Amarela — Amado Edílson (2009)]
4) Ela entrou dentro da minha casa Fingia ser minha amiga E eu caí nessa roubada Ela conseguiu Levar o meu homem Ele se arrependeu e a saudade lhe consome Isso pra mim foi dupla traição Você e minha amiga Vão morrer sem meu perdão [Dupla Traição — Simone &amp; Simaria (2012)]
5) E eu implorei pra você voltar E ela me matou na unha Disse que eu tava solteiro Eu tava solteiro porra nenhuma [Liberdade Provisória — Henrique &amp; Juliano (2020)]</t>
  </si>
  <si>
    <t>número 2 não tem relação com traição; número 5 não encaixa</t>
  </si>
  <si>
    <t>Q</t>
  </si>
  <si>
    <t>Música</t>
  </si>
  <si>
    <t>canção, perfeita, melodia, letra, mostrar, destino amar</t>
  </si>
  <si>
    <t>1) Apenas do olhar sinto a melodia No seu caminhar, vou encontrando a rima As notas me vêm no teu abraçar No teu beijo doce a letra se faz Agora o resto não importa mais É que o nosso amor canção perfeita traz [Canção Perfeita — Israel Novaes (2012)]
2) Eu sou a letra desta canção Declaração de amor um dia prometida E você, a melodia preferida [Amor Além da Vida — Cezar e Paulinho (2006)]
3) Acho que é porque sou um cara bruto E o pior, o meu vocabulário é xucro Mesmo assim eu fiz essa canção Amor, foi de coração [Anjo — Jads e Jadson (2011)]
4) Eu já fiz de tudo pra te convencer Mandei rosas vermelhas lindas pra você Falei de amor, fiz uma canção [Enquanto Houver Razões — Jorge &amp; Mateus (2012)]
5) Você diz que não precisa viver sonhando tanto Que vivo a fazer demais por você Diz que não precisa a cada vez que canto Uma canção a mais pra você [Não Precisa (part. Victor &amp; Leo) — Paula Fernandes (2010)]</t>
  </si>
  <si>
    <t>R</t>
  </si>
  <si>
    <t>Verdade, culpa e inocência</t>
  </si>
  <si>
    <t>buscar, verdade, fiz tudo, qualquer, crime, inocentes</t>
  </si>
  <si>
    <t>1) Eu não te deixaria por uma aventura à toa (oh) E nem te trocaria por qualquer outra pessoa (oh) Só pra matar a vontade, o crime não compensa Garotas inocentes não merecem chorar (oh) Por garotos que não têm a verdade no olhar (oh) Escolhi ser diferente, amor Só pra te amar (Oh, oh) [Garotas Não Merecem Chorar — Luan Santana (2013)]
2) Só não conta que eu pirei Nem que eu fiquei louco Não deixa ela saber Que eu tô morrendo aos poucos Inventa a história que você quiser Não conte a verdade, a verdade [A Verdade — Fernando e Sorocaba (2012)]
3) Já que cê não quer sair como o ruim da história Então mente aí que a culpa é nossa [A Culpa É Nossa — Maiara &amp; Maraisa (2023)]
4) Eu já disse o que tinha pra dizer Não quis te perder Fiz tudo por você e nada por mim [Boa Sorte Pra Você — Victor &amp; Leo (2010)]
5) Cha-la-la-la-la Você rouba a beleza de qualquer lugar (de qualquer lugar) Cha-la-la-la-la Você volta, ou eu vou aí te buscar (olha que eu vou, olha que eu vou) Cha-la-la-la-la Já tentei, fiz de tudo, sem você não dá Cha-la-la-la-la Você volta, ou eu vou aí te buscar Eu vou te buscar [Eu Vou Te Buscar (part. Hungria) — Gusttavo Lima (2018)]</t>
  </si>
  <si>
    <t>número 1 não tem relação com culpa; número 2 não tem culpa e nem inocência; número 3 não fala em verdade; número 4 não tem nada de verdade e culpa; número 5 totalmente fora.</t>
  </si>
  <si>
    <t>S</t>
  </si>
  <si>
    <t>Sensualidade e dança</t>
  </si>
  <si>
    <t>Contato e aproximação</t>
  </si>
  <si>
    <t>alô, fazendo mesmo, tudo usar, alô alô, jeito, comigo</t>
  </si>
  <si>
    <t>1) Alô, alô, alô, fala comigo Alô, alô, te esquecer não consigo [Alô — Léo Magalhães (2013)]
2) Mas de você faz tempo que não ouço nada Fala um pouco, sua voz tá tão calada Aí de cima, fala alto que eu preciso ouvir Como é que tá aí? [Impressionando Os Anjos — Gustavo Mioto (2017)]
3) Mas que bonito hein? Cê tá pensando o quê? Pode me explicar agora Chega de blá-blá-blá Trate de começar Fala de uma vez E vê se não me enrola [Eu Tô Jogando Verde — Luan Santana (2009)]
4) Deixa do jeito que tá Por mim tá tudo bem Mas deixa eu te perguntar Tá bom pra você também? Hein? [Contar Pra Quê? — Henrique &amp; Juliano (2015)]
5) Ô moça, o que é que cê tem? Que faz coração dar uns treco De perto parece que tô querendo De longe parece que eu tô de perto [Ô Linda — Diego e Victor Hugo (2025)]</t>
  </si>
  <si>
    <t>número 3 não tem relação nem com contato e nem com aproximação; número 4 fora; número 5 fora;</t>
  </si>
  <si>
    <t>Nhec é uma onomatopéia, isso vale como palavra representatativa? Bomberman nem é citado nos trecchos</t>
  </si>
  <si>
    <t>T</t>
  </si>
  <si>
    <t>Reflexão, escolhas e decisão</t>
  </si>
  <si>
    <t>pensa direito, fechar olhos, fechar, direito, escolhas, medida</t>
  </si>
  <si>
    <t>1) Pensa direito, respira fundo Vou fazer de você a mulher mais feliz do mundo Pensa direito, fica comigo Meu amor é muito grande pra ser só seu amigo Seu amigo [Se Fosse Eu — César Menotti &amp; Fabiano (2012)]
2) Se hoje eu tô de terno preto E você, de noiva É por causa das nossas escolhas Das nossas escolhas [Escolhas — Zé Neto e Cristiano (2023)]
3) Para pra pensar Porque eu já me toquei Eu te escolhi Você me escolheu, eu sei [Aí Já Era — Jorge &amp; Mateus (2010)]
4) Vou te provar, te fazer sentir Que cada dia eu volto a te escolher Porque me dá seu amor sem medida Vou dividir a minha única vida Com você Com você Com você [Amor Sem Medida (Te Voy A Amar) — Matheus &amp; Kauan (2015)]
5) Eu só sei fazer amor te chamando Gritando o seu nome, eu só sei te amar Sinto falta de você quando some, a dor me consome Eu sei que nunca mais te esqueço Pois basta só fechar os meus olhos pra te lembrar Pois basta só fechar os meus olhos pra te lembrar Pois basta só fechar os meus olhos Pra te lembrar [Você Vai Ficar Em Mim — Cristiano Araújo (2011)]</t>
  </si>
  <si>
    <t>número 2 só trata de escolhas; número 5 só reflexão</t>
  </si>
  <si>
    <t>U</t>
  </si>
  <si>
    <t>Bebidas e consumo</t>
  </si>
  <si>
    <t>garrafa, agradar, copo, cerveja, acabou, coca cola</t>
  </si>
  <si>
    <t>1) E quando faltar só um copo pra garrafa acabar Acabou seu tempo, acabou a gente Porque amor frio e cerveja quente Eu deixo pra outro tomar Eu deixo pra outro pegar e amar Eu deixo pra lá [Cronômetro — Matheus &amp; Kauan (2024)]
2) A garrafa precisa do copo O copo precisa da mesa A mesa precisa de mim E eu preciso da cerveja [Todo Mundo Vai Sofrer — Marília Mendonça (2019)]
3) Do copo de cerveja, com delicadeza Ofereceu pra aquela moça sentar na sua mesa Não venha me dizer que foi só por educação Eu sei que tá querendo me levar na conversa Mas se você soubesse o que realmente me interessa [Como Faz Com Ela — Marília Mendonça (2015)]
4) Sentado numa cadeira de aço enferrujada e bebendo Cada copo americano enganava o meu sofrimento Achei que eu tivesse esquecido a danada naquela hora Até ver o seu nome escrito na lata de Coca-Cola [Cadeira de Aço — Zé Neto e Cristiano (2017)]
5) Traga mais uma garrafa Hoje vou embriagar-me Quero dormir para não ver Outro homem te abraçar [A Dama de Vermelho — Bruno &amp; Marrone (2019)]</t>
  </si>
  <si>
    <t>Validação dos macro-tópicos - Anotador 3</t>
  </si>
  <si>
    <t>Só achei estranho o "mulher blusa"</t>
  </si>
  <si>
    <t>Validação dos macro-tópicos - Anotador 4</t>
  </si>
  <si>
    <t>As amostras condizem com o rótulo, só não dei 5 porque a última parece não estar tanto no tópico "término", mas se encaixa nos outros.</t>
  </si>
  <si>
    <t>Mesmo comentário de cima, mas aqui acho que a amostra 4 não se encaixa muito no tópico "corpo", apesar de falar em carinho, as outras se encaixam perfeitamente.</t>
  </si>
  <si>
    <t>Acho que todas amostras estão no campo dos rótulos, mas percebi que "tempo" neste rótulo pode ter dois sentidos: cronológico (amostras 2 e 3) e meteorológico (amostra 4).</t>
  </si>
  <si>
    <t>Perfeito.</t>
  </si>
  <si>
    <t>Acho que os grupos 0, 3 e 5, apesar de reconhecer que merecem grupos separados, estão muito próximos entre si. Dei 3 por conta disso, das amostras aqui eu acho que a 2 pertence mais ao grupo 0 (término e sofrimento) do que ao 5 (jogos e disputa).</t>
  </si>
  <si>
    <t>Acho que 5 porque reconheço que todas amostras formam mesmo um grupo, mas não entendi o contexto de "família" neste grupo, seria tipo "família" de amigos?</t>
  </si>
  <si>
    <t>Este grupo apesar de ter a ver com término, está distante do 0, 3 e 5 que eu mencionei acima porque eu percebo que fala de "ex" sem a vontade de voltar, já superado.</t>
  </si>
  <si>
    <t>Este grupo é muito parecido com o de cima, mas acho que aqui estão falando mais de resignação, enquanto em cima é superação, passado. Enfim, bem próximos o 8 e o 9.</t>
  </si>
  <si>
    <t>esse parece ser o grupo menos clusterizado, não parece ter tanta proximidade entre os itens.</t>
  </si>
  <si>
    <t>Pra mim a 3 e a 4 tão juntas e a 1, 2 e 5 também, mas não me parece que todas são do mesmo grupo, mas pode ser que sejam outros trechos das músicas que casem melhor, talvez?</t>
  </si>
  <si>
    <t>Onomatopéias.</t>
  </si>
  <si>
    <t>Aqui de novo, acho que o que une todas menos a 1 são as onomatopéias.</t>
  </si>
  <si>
    <t>Aqui eu acho que não entendi muito o que une essas músicas.</t>
  </si>
  <si>
    <t>Só a 5 que não parece fazer parte do grupo.</t>
  </si>
  <si>
    <t>Nota A1</t>
  </si>
  <si>
    <t>Nota A2</t>
  </si>
  <si>
    <t>Nota A3</t>
  </si>
  <si>
    <t>Nota A4</t>
  </si>
  <si>
    <t>Média</t>
  </si>
  <si>
    <t>Desvio padrão</t>
  </si>
  <si>
    <t>Qtd notas &gt;=4</t>
  </si>
  <si>
    <t>Indicador</t>
  </si>
  <si>
    <t>Fórmula/valor</t>
  </si>
  <si>
    <t>Média geral</t>
  </si>
  <si>
    <t>Macro-tópicos validados</t>
  </si>
  <si>
    <t>Macro-tópicos a revisar</t>
  </si>
  <si>
    <t>Macro-tópicos não validados</t>
  </si>
  <si>
    <t>Pendentes</t>
  </si>
  <si>
    <t>Critério</t>
  </si>
  <si>
    <t>Validado = média &gt;= 4,0 e pelo menos 3 de 4 notas &gt;= 4</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</si>
</sst>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b/>
      <sz val="11.0"/>
      <color rgb="FFFFFFFF"/>
      <name val="Carlito"/>
    </font>
    <font>
      <b/>
      <sz val="14.0"/>
      <color rgb="FFFFFFFF"/>
      <name val="Carlito"/>
    </font>
    <font>
      <b/>
      <sz val="13.0"/>
      <color rgb="FFFFFFFF"/>
      <name val="Carlito"/>
    </font>
    <font>
      <b/>
      <sz val="11.0"/>
      <color theme="1"/>
      <name val="Carlito"/>
    </font>
    <font>
      <sz val="11.0"/>
      <color theme="1"/>
      <name val="Carlito"/>
    </font>
    <font>
      <sz val="16.0"/>
      <color theme="1"/>
      <name val="Carlito"/>
    </font>
    <font>
      <sz val="16.0"/>
      <color theme="1"/>
      <name val="Carlito"/>
      <scheme val="minor"/>
    </font>
    <font>
      <color theme="1"/>
      <name val="Carlito"/>
      <scheme val="minor"/>
    </font>
    <font>
      <b/>
      <sz val="16.0"/>
      <color theme="1"/>
      <name val="Carlito"/>
    </font>
  </fonts>
  <fills count="5">
    <fill>
      <patternFill patternType="none"/>
    </fill>
    <fill>
      <patternFill patternType="lightGray"/>
    </fill>
    <fill>
      <patternFill patternType="solid">
        <fgColor rgb="FF0F766E"/>
        <bgColor rgb="FF0F766E"/>
      </patternFill>
    </fill>
    <fill>
      <patternFill patternType="solid">
        <fgColor rgb="FFCCFBF1"/>
        <bgColor rgb="FFCCFBF1"/>
      </patternFill>
    </fill>
    <fill>
      <patternFill patternType="solid">
        <fgColor rgb="FFE2E8F0"/>
        <bgColor rgb="FFE2E8F0"/>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2" numFmtId="0" xfId="0" applyAlignment="1" applyFill="1" applyFont="1">
      <alignment horizontal="center" shrinkToFit="0" vertical="center" wrapText="1"/>
    </xf>
    <xf borderId="0" fillId="2" fontId="3" numFmtId="0" xfId="0" applyAlignment="1" applyFill="1" applyFont="1">
      <alignment horizontal="center"/>
    </xf>
    <xf borderId="0" fillId="3" fontId="4" numFmtId="0" xfId="0" applyAlignment="1" applyFill="1" applyFont="1">
      <alignment shrinkToFit="0" vertical="top" wrapText="1"/>
    </xf>
    <xf borderId="0" fillId="0" fontId="5" numFmtId="0" xfId="0" applyAlignment="1" applyFont="1">
      <alignment horizontal="center" shrinkToFit="0" vertical="top" wrapText="1"/>
    </xf>
    <xf borderId="0" fillId="0" fontId="5" numFmtId="0" xfId="0" applyAlignment="1" applyFont="1">
      <alignment shrinkToFit="0" vertical="top" wrapText="1"/>
    </xf>
    <xf borderId="0" fillId="3" fontId="4" numFmtId="0" xfId="0" applyAlignment="1" applyFill="1" applyFont="1">
      <alignment vertical="top"/>
    </xf>
    <xf borderId="0" fillId="0" fontId="6" numFmtId="0" xfId="0" applyAlignment="1" applyFont="1">
      <alignment shrinkToFit="0" vertical="center" wrapText="1"/>
    </xf>
    <xf borderId="0" fillId="4" fontId="4" numFmtId="0" xfId="0" applyAlignment="1" applyFill="1" applyFont="1">
      <alignment horizontal="center" shrinkToFit="0" wrapText="1"/>
    </xf>
    <xf borderId="0" fillId="0" fontId="7" numFmtId="0" xfId="0" applyAlignment="1" applyFont="1">
      <alignment vertical="center"/>
    </xf>
    <xf borderId="0" fillId="0" fontId="8" numFmtId="0" xfId="0" applyAlignment="1" applyFont="1">
      <alignment shrinkToFit="0" wrapText="1"/>
    </xf>
    <xf borderId="0" fillId="4" fontId="9" numFmtId="0" xfId="0" applyAlignment="1" applyFill="1" applyFont="1">
      <alignment horizontal="center" shrinkToFit="0" vertical="center" wrapText="1"/>
    </xf>
    <xf borderId="0" fillId="0" fontId="5" numFmtId="0" xfId="0" applyAlignment="1" applyFont="1">
      <alignment vertical="top"/>
    </xf>
    <xf borderId="0" fillId="0" fontId="6" numFmtId="0" xfId="0" applyAlignment="1" applyFont="1">
      <alignment horizontal="center" shrinkToFit="0" vertical="center" wrapText="1"/>
    </xf>
    <xf borderId="0" fillId="0" fontId="5" numFmtId="0" xfId="0" applyAlignment="1" applyFont="1">
      <alignment shrinkToFit="0" vertical="bottom" wrapText="1"/>
    </xf>
    <xf borderId="0" fillId="0" fontId="5" numFmtId="0" xfId="0" applyAlignment="1" applyFont="1">
      <alignment horizontal="center" readingOrder="0" shrinkToFit="0" vertical="top" wrapText="1"/>
    </xf>
    <xf borderId="0" fillId="0" fontId="5" numFmtId="0" xfId="0" applyAlignment="1" applyFont="1">
      <alignment readingOrder="0" shrinkToFit="0" vertical="bottom" wrapText="1"/>
    </xf>
    <xf borderId="0" fillId="0" fontId="5" numFmtId="0" xfId="0" applyAlignment="1" applyFont="1">
      <alignment vertical="bottom"/>
    </xf>
    <xf borderId="0" fillId="0" fontId="6"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readingOrder="0" vertical="center"/>
    </xf>
    <xf borderId="0" fillId="0" fontId="8" numFmtId="0" xfId="0" applyAlignment="1" applyFont="1">
      <alignment vertical="center"/>
    </xf>
    <xf borderId="0" fillId="0" fontId="5" numFmtId="0" xfId="0" applyAlignment="1" applyFont="1">
      <alignment vertical="center"/>
    </xf>
    <xf borderId="0" fillId="0" fontId="8" numFmtId="0" xfId="0" applyAlignment="1" applyFont="1">
      <alignment shrinkToFit="0" vertical="top" wrapText="1"/>
    </xf>
    <xf borderId="0" fillId="4" fontId="4" numFmtId="0" xfId="0" applyAlignment="1" applyFill="1" applyFont="1">
      <alignment horizontal="center" shrinkToFit="0" vertical="top" wrapText="1"/>
    </xf>
    <xf borderId="0" fillId="0" fontId="5" numFmtId="0" xfId="0" applyAlignment="1" applyFont="1">
      <alignment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vertical="top" wrapText="1"/>
    </xf>
    <xf borderId="0" fillId="2" fontId="1" numFmtId="0" xfId="0" applyAlignment="1" applyFill="1" applyFont="1">
      <alignment horizontal="center" shrinkToFit="0" vertical="bottom" wrapText="1"/>
    </xf>
    <xf borderId="0" fillId="0" fontId="5" numFmtId="2" xfId="0" applyAlignment="1" applyFont="1" applyNumberFormat="1">
      <alignment horizontal="center" shrinkToFit="0" vertical="top" wrapText="1"/>
    </xf>
    <xf borderId="0" fillId="0" fontId="5" numFmtId="0" xfId="0" applyAlignment="1" applyFont="1">
      <alignment horizontal="center" shrinkToFit="0" vertical="top" wrapText="1"/>
    </xf>
    <xf borderId="0" fillId="0" fontId="5" numFmtId="0" xfId="0" applyAlignment="1" applyFont="1">
      <alignment horizontal="center" vertical="bottom"/>
    </xf>
    <xf borderId="0" fillId="0" fontId="5" numFmtId="0" xfId="0" applyAlignment="1" applyFont="1">
      <alignment horizontal="center" readingOrder="0" vertical="bottom"/>
    </xf>
    <xf borderId="0" fillId="0" fontId="5" numFmtId="0" xfId="0" applyAlignment="1" applyFont="1">
      <alignment horizontal="center" vertical="bottom"/>
    </xf>
    <xf borderId="0" fillId="0" fontId="5" numFmtId="0" xfId="0" applyAlignment="1" applyFont="1">
      <alignment horizontal="center" shrinkToFit="0" vertical="bottom" wrapText="1"/>
    </xf>
    <xf borderId="0" fillId="0" fontId="5" numFmtId="2" xfId="0" applyAlignment="1" applyFont="1" applyNumberFormat="1">
      <alignment readingOrder="0" shrinkToFit="0" vertical="top" wrapText="1"/>
    </xf>
    <xf borderId="0" fillId="0" fontId="5" numFmtId="0" xfId="0" applyAlignment="1" applyFont="1">
      <alignment vertical="top"/>
    </xf>
    <xf borderId="0" fillId="0" fontId="5" numFmtId="2" xfId="0" applyAlignment="1" applyFont="1" applyNumberFormat="1">
      <alignment horizontal="right" shrinkToFit="0" vertical="bottom" wrapText="1"/>
    </xf>
    <xf borderId="0" fillId="0" fontId="5"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0"/>
    <col customWidth="1" min="2" max="2" width="105.0"/>
    <col customWidth="1" min="3" max="6" width="8.63"/>
  </cols>
  <sheetData>
    <row r="1" ht="33.0" customHeight="1">
      <c r="A1" s="2" t="s">
        <v>0</v>
      </c>
    </row>
    <row r="2" ht="26.25" customHeight="1">
      <c r="A2" s="4" t="s">
        <v>8</v>
      </c>
      <c r="B2" s="6" t="s">
        <v>9</v>
      </c>
    </row>
    <row r="3" ht="15.0" customHeight="1">
      <c r="A3" s="4" t="s">
        <v>13</v>
      </c>
      <c r="B3" s="6" t="s">
        <v>15</v>
      </c>
    </row>
    <row r="4" ht="15.0" customHeight="1">
      <c r="A4" s="4" t="s">
        <v>17</v>
      </c>
      <c r="B4" s="6" t="s">
        <v>18</v>
      </c>
    </row>
    <row r="5" ht="26.25" customHeight="1">
      <c r="A5" s="4" t="s">
        <v>20</v>
      </c>
      <c r="B5" s="6" t="s">
        <v>21</v>
      </c>
    </row>
    <row r="6" ht="15.0" customHeight="1">
      <c r="A6" s="4" t="s">
        <v>24</v>
      </c>
      <c r="B6" s="6" t="s">
        <v>26</v>
      </c>
    </row>
    <row r="7" ht="15.0" customHeight="1">
      <c r="A7" s="4" t="s">
        <v>27</v>
      </c>
      <c r="B7" s="6" t="s">
        <v>29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5.0"/>
    <col customWidth="1" min="3" max="3" width="55.0"/>
    <col customWidth="1" min="4" max="4" width="22.0"/>
    <col customWidth="1" min="5" max="5" width="100.0"/>
    <col customWidth="1" min="6" max="6" width="8.63"/>
  </cols>
  <sheetData>
    <row r="1">
      <c r="A1" s="1" t="s">
        <v>1</v>
      </c>
      <c r="B1" s="1" t="s">
        <v>2</v>
      </c>
      <c r="C1" s="1" t="s">
        <v>4</v>
      </c>
      <c r="D1" s="1" t="s">
        <v>5</v>
      </c>
      <c r="E1" s="1" t="s">
        <v>6</v>
      </c>
    </row>
    <row r="2" ht="150.0" customHeight="1">
      <c r="A2" s="5">
        <v>0.0</v>
      </c>
      <c r="B2" s="6" t="s">
        <v>11</v>
      </c>
      <c r="C2" s="6" t="s">
        <v>12</v>
      </c>
      <c r="D2" s="6" t="s">
        <v>14</v>
      </c>
      <c r="E2" s="6" t="s">
        <v>19</v>
      </c>
    </row>
    <row r="3" ht="150.0" customHeight="1">
      <c r="A3" s="5">
        <v>1.0</v>
      </c>
      <c r="B3" s="6" t="s">
        <v>22</v>
      </c>
      <c r="C3" s="6" t="s">
        <v>23</v>
      </c>
      <c r="D3" s="6" t="s">
        <v>25</v>
      </c>
      <c r="E3" s="6" t="s">
        <v>28</v>
      </c>
    </row>
    <row r="4" ht="150.0" customHeight="1">
      <c r="A4" s="5">
        <v>2.0</v>
      </c>
      <c r="B4" s="6" t="s">
        <v>30</v>
      </c>
      <c r="C4" s="6" t="s">
        <v>31</v>
      </c>
      <c r="D4" s="6" t="s">
        <v>32</v>
      </c>
      <c r="E4" s="6" t="s">
        <v>33</v>
      </c>
    </row>
    <row r="5" ht="150.0" customHeight="1">
      <c r="A5" s="5">
        <v>3.0</v>
      </c>
      <c r="B5" s="6" t="s">
        <v>36</v>
      </c>
      <c r="C5" s="6" t="s">
        <v>38</v>
      </c>
      <c r="D5" s="6" t="s">
        <v>39</v>
      </c>
      <c r="E5" s="6" t="s">
        <v>41</v>
      </c>
    </row>
    <row r="6" ht="150.0" customHeight="1">
      <c r="A6" s="5">
        <v>4.0</v>
      </c>
      <c r="B6" s="6" t="s">
        <v>42</v>
      </c>
      <c r="C6" s="6" t="s">
        <v>43</v>
      </c>
      <c r="D6" s="6" t="s">
        <v>44</v>
      </c>
      <c r="E6" s="6" t="s">
        <v>45</v>
      </c>
    </row>
    <row r="7" ht="150.0" customHeight="1">
      <c r="A7" s="5">
        <v>5.0</v>
      </c>
      <c r="B7" s="6" t="s">
        <v>46</v>
      </c>
      <c r="C7" s="6" t="s">
        <v>47</v>
      </c>
      <c r="D7" s="6" t="s">
        <v>48</v>
      </c>
      <c r="E7" s="6" t="s">
        <v>49</v>
      </c>
    </row>
    <row r="8" ht="150.0" customHeight="1">
      <c r="A8" s="5">
        <v>6.0</v>
      </c>
      <c r="B8" s="6" t="s">
        <v>50</v>
      </c>
      <c r="C8" s="6" t="s">
        <v>51</v>
      </c>
      <c r="D8" s="6" t="s">
        <v>52</v>
      </c>
      <c r="E8" s="6" t="s">
        <v>53</v>
      </c>
    </row>
    <row r="9" ht="150.0" customHeight="1">
      <c r="A9" s="5">
        <v>7.0</v>
      </c>
      <c r="B9" s="6" t="s">
        <v>56</v>
      </c>
      <c r="C9" s="6" t="s">
        <v>57</v>
      </c>
      <c r="D9" s="6" t="s">
        <v>58</v>
      </c>
      <c r="E9" s="6" t="s">
        <v>59</v>
      </c>
    </row>
    <row r="10" ht="150.0" customHeight="1">
      <c r="A10" s="5">
        <v>8.0</v>
      </c>
      <c r="B10" s="6" t="s">
        <v>60</v>
      </c>
      <c r="C10" s="6" t="s">
        <v>61</v>
      </c>
      <c r="D10" s="6" t="s">
        <v>62</v>
      </c>
      <c r="E10" s="6" t="s">
        <v>64</v>
      </c>
    </row>
    <row r="11" ht="150.0" customHeight="1">
      <c r="A11" s="5">
        <v>9.0</v>
      </c>
      <c r="B11" s="6" t="s">
        <v>65</v>
      </c>
      <c r="C11" s="6" t="s">
        <v>66</v>
      </c>
      <c r="D11" s="6" t="s">
        <v>67</v>
      </c>
      <c r="E11" s="6"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48.0"/>
    <col customWidth="1" min="4" max="4" width="90.0"/>
    <col customWidth="1" min="5" max="5" width="12.0"/>
    <col customWidth="1" min="6" max="6" width="28.0"/>
    <col customWidth="1" min="7" max="7" width="35.0"/>
  </cols>
  <sheetData>
    <row r="1">
      <c r="A1" s="3" t="s">
        <v>3</v>
      </c>
    </row>
    <row r="2">
      <c r="A2" s="7" t="s">
        <v>10</v>
      </c>
      <c r="B2" s="6" t="s">
        <v>16</v>
      </c>
      <c r="C2" s="6"/>
      <c r="D2" s="6"/>
      <c r="E2" s="8"/>
      <c r="F2" s="6"/>
      <c r="G2" s="6"/>
    </row>
    <row r="3">
      <c r="E3" s="10"/>
      <c r="G3" s="11"/>
    </row>
    <row r="4">
      <c r="A4" s="9" t="s">
        <v>1</v>
      </c>
      <c r="B4" s="9" t="s">
        <v>2</v>
      </c>
      <c r="C4" s="9" t="s">
        <v>4</v>
      </c>
      <c r="D4" s="9" t="s">
        <v>6</v>
      </c>
      <c r="E4" s="12" t="s">
        <v>34</v>
      </c>
      <c r="F4" s="9" t="s">
        <v>35</v>
      </c>
      <c r="G4" s="9" t="s">
        <v>37</v>
      </c>
    </row>
    <row r="5">
      <c r="A5" s="5" t="s">
        <v>40</v>
      </c>
      <c r="B5" s="6" t="s">
        <v>11</v>
      </c>
      <c r="C5" s="6" t="s">
        <v>12</v>
      </c>
      <c r="D5" s="6" t="s">
        <v>19</v>
      </c>
      <c r="E5" s="14">
        <v>5.0</v>
      </c>
      <c r="F5" s="13"/>
      <c r="G5" s="6"/>
    </row>
    <row r="6">
      <c r="A6" s="5" t="s">
        <v>55</v>
      </c>
      <c r="B6" s="6" t="s">
        <v>22</v>
      </c>
      <c r="C6" s="6" t="s">
        <v>23</v>
      </c>
      <c r="D6" s="6" t="s">
        <v>28</v>
      </c>
      <c r="E6" s="14">
        <v>5.0</v>
      </c>
      <c r="F6" s="13"/>
      <c r="G6" s="6"/>
    </row>
    <row r="7">
      <c r="A7" s="5" t="s">
        <v>63</v>
      </c>
      <c r="B7" s="6" t="s">
        <v>30</v>
      </c>
      <c r="C7" s="6" t="s">
        <v>31</v>
      </c>
      <c r="D7" s="6" t="s">
        <v>33</v>
      </c>
      <c r="E7" s="14">
        <v>4.0</v>
      </c>
      <c r="F7" s="13"/>
      <c r="G7" s="6"/>
    </row>
    <row r="8">
      <c r="A8" s="5" t="s">
        <v>70</v>
      </c>
      <c r="B8" s="6" t="s">
        <v>36</v>
      </c>
      <c r="C8" s="6" t="s">
        <v>38</v>
      </c>
      <c r="D8" s="6" t="s">
        <v>41</v>
      </c>
      <c r="E8" s="14">
        <v>4.0</v>
      </c>
      <c r="F8" s="13"/>
      <c r="G8" s="6"/>
    </row>
    <row r="9">
      <c r="A9" s="5" t="s">
        <v>71</v>
      </c>
      <c r="B9" s="6" t="s">
        <v>42</v>
      </c>
      <c r="C9" s="6" t="s">
        <v>43</v>
      </c>
      <c r="D9" s="6" t="s">
        <v>45</v>
      </c>
      <c r="E9" s="14">
        <v>5.0</v>
      </c>
      <c r="F9" s="13"/>
      <c r="G9" s="6"/>
    </row>
    <row r="10">
      <c r="A10" s="5" t="s">
        <v>72</v>
      </c>
      <c r="B10" s="6" t="s">
        <v>46</v>
      </c>
      <c r="C10" s="6" t="s">
        <v>47</v>
      </c>
      <c r="D10" s="6" t="s">
        <v>49</v>
      </c>
      <c r="E10" s="14">
        <v>5.0</v>
      </c>
      <c r="F10" s="13"/>
      <c r="G10" s="6"/>
    </row>
    <row r="11">
      <c r="A11" s="5" t="s">
        <v>74</v>
      </c>
      <c r="B11" s="6" t="s">
        <v>50</v>
      </c>
      <c r="C11" s="6" t="s">
        <v>51</v>
      </c>
      <c r="D11" s="6" t="s">
        <v>53</v>
      </c>
      <c r="E11" s="14">
        <v>5.0</v>
      </c>
      <c r="F11" s="13"/>
      <c r="G11" s="6"/>
    </row>
    <row r="12">
      <c r="A12" s="5" t="s">
        <v>75</v>
      </c>
      <c r="B12" s="6" t="s">
        <v>76</v>
      </c>
      <c r="C12" s="6" t="s">
        <v>57</v>
      </c>
      <c r="D12" s="6" t="s">
        <v>59</v>
      </c>
      <c r="E12" s="14">
        <v>5.0</v>
      </c>
      <c r="F12" s="13"/>
      <c r="G12" s="6"/>
    </row>
    <row r="13">
      <c r="A13" s="5" t="s">
        <v>78</v>
      </c>
      <c r="B13" s="6" t="s">
        <v>60</v>
      </c>
      <c r="C13" s="6" t="s">
        <v>61</v>
      </c>
      <c r="D13" s="6" t="s">
        <v>64</v>
      </c>
      <c r="E13" s="14">
        <v>5.0</v>
      </c>
      <c r="F13" s="13"/>
      <c r="G13" s="6"/>
    </row>
    <row r="14">
      <c r="A14" s="5" t="s">
        <v>79</v>
      </c>
      <c r="B14" s="6" t="s">
        <v>65</v>
      </c>
      <c r="C14" s="6" t="s">
        <v>66</v>
      </c>
      <c r="D14" s="6" t="s">
        <v>69</v>
      </c>
      <c r="E14" s="14">
        <v>5.0</v>
      </c>
      <c r="F14" s="13"/>
      <c r="G14" s="6"/>
    </row>
    <row r="15">
      <c r="A15" s="15" t="s">
        <v>81</v>
      </c>
      <c r="B15" s="15" t="s">
        <v>82</v>
      </c>
      <c r="C15" s="15" t="s">
        <v>83</v>
      </c>
      <c r="D15" s="15" t="s">
        <v>84</v>
      </c>
      <c r="E15" s="19">
        <v>5.0</v>
      </c>
      <c r="F15" s="18"/>
      <c r="G15" s="15"/>
    </row>
    <row r="16">
      <c r="A16" s="20" t="s">
        <v>86</v>
      </c>
      <c r="B16" s="20" t="s">
        <v>87</v>
      </c>
      <c r="C16" s="20" t="s">
        <v>88</v>
      </c>
      <c r="D16" s="20" t="s">
        <v>89</v>
      </c>
      <c r="E16" s="19">
        <v>3.0</v>
      </c>
      <c r="F16" s="22" t="s">
        <v>103</v>
      </c>
      <c r="G16" s="21" t="s">
        <v>105</v>
      </c>
      <c r="H16" s="23"/>
      <c r="I16" s="23"/>
      <c r="J16" s="23"/>
      <c r="K16" s="23"/>
      <c r="L16" s="23"/>
      <c r="M16" s="23"/>
      <c r="N16" s="23"/>
      <c r="O16" s="23"/>
      <c r="P16" s="23"/>
      <c r="Q16" s="23"/>
      <c r="R16" s="23"/>
      <c r="S16" s="23"/>
      <c r="T16" s="23"/>
      <c r="U16" s="23"/>
      <c r="V16" s="23"/>
      <c r="W16" s="23"/>
      <c r="X16" s="23"/>
      <c r="Y16" s="23"/>
      <c r="Z16" s="23"/>
    </row>
    <row r="17">
      <c r="A17" s="20" t="s">
        <v>91</v>
      </c>
      <c r="B17" s="21" t="s">
        <v>92</v>
      </c>
      <c r="C17" s="20" t="s">
        <v>93</v>
      </c>
      <c r="D17" s="20" t="s">
        <v>94</v>
      </c>
      <c r="E17" s="19">
        <v>5.0</v>
      </c>
      <c r="F17" s="24"/>
      <c r="G17" s="20"/>
      <c r="H17" s="23"/>
      <c r="I17" s="23"/>
      <c r="J17" s="23"/>
      <c r="K17" s="23"/>
      <c r="L17" s="23"/>
      <c r="M17" s="23"/>
      <c r="N17" s="23"/>
      <c r="O17" s="23"/>
      <c r="P17" s="23"/>
      <c r="Q17" s="23"/>
      <c r="R17" s="23"/>
      <c r="S17" s="23"/>
      <c r="T17" s="23"/>
      <c r="U17" s="23"/>
      <c r="V17" s="23"/>
      <c r="W17" s="23"/>
      <c r="X17" s="23"/>
      <c r="Y17" s="23"/>
      <c r="Z17" s="23"/>
    </row>
    <row r="18">
      <c r="A18" s="20" t="s">
        <v>96</v>
      </c>
      <c r="B18" s="21" t="s">
        <v>122</v>
      </c>
      <c r="C18" s="20" t="s">
        <v>98</v>
      </c>
      <c r="D18" s="20" t="s">
        <v>99</v>
      </c>
      <c r="E18" s="19">
        <v>4.0</v>
      </c>
      <c r="F18" s="24"/>
      <c r="G18" s="21" t="s">
        <v>127</v>
      </c>
      <c r="H18" s="23"/>
      <c r="I18" s="23"/>
      <c r="J18" s="23"/>
      <c r="K18" s="23"/>
      <c r="L18" s="23"/>
      <c r="M18" s="23"/>
      <c r="N18" s="23"/>
      <c r="O18" s="23"/>
      <c r="P18" s="23"/>
      <c r="Q18" s="23"/>
      <c r="R18" s="23"/>
      <c r="S18" s="23"/>
      <c r="T18" s="23"/>
      <c r="U18" s="23"/>
      <c r="V18" s="23"/>
      <c r="W18" s="23"/>
      <c r="X18" s="23"/>
      <c r="Y18" s="23"/>
      <c r="Z18" s="23"/>
    </row>
    <row r="19">
      <c r="A19" s="20" t="s">
        <v>101</v>
      </c>
      <c r="B19" s="21" t="s">
        <v>102</v>
      </c>
      <c r="C19" s="20" t="s">
        <v>104</v>
      </c>
      <c r="D19" s="20" t="s">
        <v>106</v>
      </c>
      <c r="E19" s="19">
        <v>5.0</v>
      </c>
      <c r="F19" s="24"/>
      <c r="G19" s="20"/>
      <c r="H19" s="23"/>
      <c r="I19" s="23"/>
      <c r="J19" s="23"/>
      <c r="K19" s="23"/>
      <c r="L19" s="23"/>
      <c r="M19" s="23"/>
      <c r="N19" s="23"/>
      <c r="O19" s="23"/>
      <c r="P19" s="23"/>
      <c r="Q19" s="23"/>
      <c r="R19" s="23"/>
      <c r="S19" s="23"/>
      <c r="T19" s="23"/>
      <c r="U19" s="23"/>
      <c r="V19" s="23"/>
      <c r="W19" s="23"/>
      <c r="X19" s="23"/>
      <c r="Y19" s="23"/>
      <c r="Z19" s="23"/>
    </row>
    <row r="20">
      <c r="A20" s="20" t="s">
        <v>107</v>
      </c>
      <c r="B20" s="21" t="s">
        <v>108</v>
      </c>
      <c r="C20" s="20" t="s">
        <v>109</v>
      </c>
      <c r="D20" s="20" t="s">
        <v>110</v>
      </c>
      <c r="E20" s="19">
        <v>4.0</v>
      </c>
      <c r="F20" s="24"/>
      <c r="G20" s="21" t="s">
        <v>138</v>
      </c>
      <c r="H20" s="23"/>
      <c r="I20" s="23"/>
      <c r="J20" s="23"/>
      <c r="K20" s="23"/>
      <c r="L20" s="23"/>
      <c r="M20" s="23"/>
      <c r="N20" s="23"/>
      <c r="O20" s="23"/>
      <c r="P20" s="23"/>
      <c r="Q20" s="23"/>
      <c r="R20" s="23"/>
      <c r="S20" s="23"/>
      <c r="T20" s="23"/>
      <c r="U20" s="23"/>
      <c r="V20" s="23"/>
      <c r="W20" s="23"/>
      <c r="X20" s="23"/>
      <c r="Y20" s="23"/>
      <c r="Z20" s="23"/>
    </row>
    <row r="21">
      <c r="A21" s="20" t="s">
        <v>112</v>
      </c>
      <c r="B21" s="21" t="s">
        <v>113</v>
      </c>
      <c r="C21" s="20" t="s">
        <v>114</v>
      </c>
      <c r="D21" s="20" t="s">
        <v>115</v>
      </c>
      <c r="E21" s="19">
        <v>5.0</v>
      </c>
      <c r="F21" s="24"/>
      <c r="G21" s="20"/>
      <c r="H21" s="23"/>
      <c r="I21" s="23"/>
      <c r="J21" s="23"/>
      <c r="K21" s="23"/>
      <c r="L21" s="23"/>
      <c r="M21" s="23"/>
      <c r="N21" s="23"/>
      <c r="O21" s="23"/>
      <c r="P21" s="23"/>
      <c r="Q21" s="23"/>
      <c r="R21" s="23"/>
      <c r="S21" s="23"/>
      <c r="T21" s="23"/>
      <c r="U21" s="23"/>
      <c r="V21" s="23"/>
      <c r="W21" s="23"/>
      <c r="X21" s="23"/>
      <c r="Y21" s="23"/>
      <c r="Z21" s="23"/>
    </row>
    <row r="22">
      <c r="A22" s="20" t="s">
        <v>116</v>
      </c>
      <c r="B22" s="20" t="s">
        <v>117</v>
      </c>
      <c r="C22" s="20" t="s">
        <v>118</v>
      </c>
      <c r="D22" s="20" t="s">
        <v>119</v>
      </c>
      <c r="E22" s="19">
        <v>4.0</v>
      </c>
      <c r="F22" s="24"/>
      <c r="G22" s="20"/>
      <c r="H22" s="23"/>
      <c r="I22" s="23"/>
      <c r="J22" s="23"/>
      <c r="K22" s="23"/>
      <c r="L22" s="23"/>
      <c r="M22" s="23"/>
      <c r="N22" s="23"/>
      <c r="O22" s="23"/>
      <c r="P22" s="23"/>
      <c r="Q22" s="23"/>
      <c r="R22" s="23"/>
      <c r="S22" s="23"/>
      <c r="T22" s="23"/>
      <c r="U22" s="23"/>
      <c r="V22" s="23"/>
      <c r="W22" s="23"/>
      <c r="X22" s="23"/>
      <c r="Y22" s="23"/>
      <c r="Z22" s="23"/>
    </row>
    <row r="23">
      <c r="A23" s="20" t="s">
        <v>121</v>
      </c>
      <c r="B23" s="20" t="s">
        <v>123</v>
      </c>
      <c r="C23" s="20" t="s">
        <v>124</v>
      </c>
      <c r="D23" s="20" t="s">
        <v>125</v>
      </c>
      <c r="E23" s="19">
        <v>4.0</v>
      </c>
      <c r="F23" s="24"/>
      <c r="G23" s="20"/>
      <c r="H23" s="23"/>
      <c r="I23" s="23"/>
      <c r="J23" s="23"/>
      <c r="K23" s="23"/>
      <c r="L23" s="23"/>
      <c r="M23" s="23"/>
      <c r="N23" s="23"/>
      <c r="O23" s="23"/>
      <c r="P23" s="23"/>
      <c r="Q23" s="23"/>
      <c r="R23" s="23"/>
      <c r="S23" s="23"/>
      <c r="T23" s="23"/>
      <c r="U23" s="23"/>
      <c r="V23" s="23"/>
      <c r="W23" s="23"/>
      <c r="X23" s="23"/>
      <c r="Y23" s="23"/>
      <c r="Z23" s="23"/>
    </row>
    <row r="24">
      <c r="A24" s="20" t="s">
        <v>128</v>
      </c>
      <c r="B24" s="20" t="s">
        <v>129</v>
      </c>
      <c r="C24" s="20" t="s">
        <v>130</v>
      </c>
      <c r="D24" s="20" t="s">
        <v>131</v>
      </c>
      <c r="E24" s="19">
        <v>5.0</v>
      </c>
      <c r="F24" s="24"/>
      <c r="G24" s="20"/>
      <c r="H24" s="23"/>
      <c r="I24" s="23"/>
      <c r="J24" s="23"/>
      <c r="K24" s="23"/>
      <c r="L24" s="23"/>
      <c r="M24" s="23"/>
      <c r="N24" s="23"/>
      <c r="O24" s="23"/>
      <c r="P24" s="23"/>
      <c r="Q24" s="23"/>
      <c r="R24" s="23"/>
      <c r="S24" s="23"/>
      <c r="T24" s="23"/>
      <c r="U24" s="23"/>
      <c r="V24" s="23"/>
      <c r="W24" s="23"/>
      <c r="X24" s="23"/>
      <c r="Y24" s="23"/>
      <c r="Z24" s="23"/>
    </row>
    <row r="25">
      <c r="A25" s="20" t="s">
        <v>133</v>
      </c>
      <c r="B25" s="20" t="s">
        <v>134</v>
      </c>
      <c r="C25" s="20" t="s">
        <v>135</v>
      </c>
      <c r="D25" s="20" t="s">
        <v>136</v>
      </c>
      <c r="E25" s="19">
        <v>5.0</v>
      </c>
      <c r="F25" s="24"/>
      <c r="G25" s="20"/>
      <c r="H25" s="23"/>
      <c r="I25" s="23"/>
      <c r="J25" s="23"/>
      <c r="K25" s="23"/>
      <c r="L25" s="23"/>
      <c r="M25" s="23"/>
      <c r="N25" s="23"/>
      <c r="O25" s="23"/>
      <c r="P25" s="23"/>
      <c r="Q25" s="23"/>
      <c r="R25" s="23"/>
      <c r="S25" s="23"/>
      <c r="T25" s="23"/>
      <c r="U25" s="23"/>
      <c r="V25" s="23"/>
      <c r="W25" s="23"/>
      <c r="X25" s="23"/>
      <c r="Y25" s="23"/>
      <c r="Z25" s="23"/>
    </row>
    <row r="26" ht="15.75" customHeight="1">
      <c r="E26" s="10"/>
      <c r="G26" s="11"/>
    </row>
    <row r="27" ht="15.75" customHeight="1">
      <c r="E27" s="10"/>
      <c r="G27" s="11"/>
    </row>
    <row r="28" ht="15.75" customHeight="1">
      <c r="E28" s="10"/>
      <c r="G28" s="11"/>
    </row>
    <row r="29" ht="15.75" customHeight="1">
      <c r="E29" s="10"/>
      <c r="G29" s="11"/>
    </row>
    <row r="30" ht="15.75" customHeight="1">
      <c r="E30" s="10"/>
      <c r="G30" s="11"/>
    </row>
    <row r="31" ht="15.75" customHeight="1">
      <c r="E31" s="10"/>
      <c r="G31" s="11"/>
    </row>
    <row r="32" ht="15.75" customHeight="1">
      <c r="E32" s="10"/>
      <c r="G32" s="11"/>
    </row>
    <row r="33" ht="15.75" customHeight="1">
      <c r="E33" s="10"/>
      <c r="G33" s="11"/>
    </row>
    <row r="34" ht="15.75" customHeight="1">
      <c r="E34" s="10"/>
      <c r="G34" s="11"/>
    </row>
    <row r="35" ht="15.75" customHeight="1">
      <c r="E35" s="10"/>
      <c r="G35" s="11"/>
    </row>
    <row r="36" ht="15.75" customHeight="1">
      <c r="E36" s="10"/>
      <c r="G36" s="11"/>
    </row>
    <row r="37" ht="15.75" customHeight="1">
      <c r="E37" s="10"/>
      <c r="G37" s="11"/>
    </row>
    <row r="38" ht="15.75" customHeight="1">
      <c r="E38" s="10"/>
      <c r="G38" s="11"/>
    </row>
    <row r="39" ht="15.75" customHeight="1">
      <c r="E39" s="10"/>
      <c r="G39" s="11"/>
    </row>
    <row r="40" ht="15.75" customHeight="1">
      <c r="E40" s="10"/>
      <c r="G40" s="11"/>
    </row>
    <row r="41" ht="15.75" customHeight="1">
      <c r="E41" s="10"/>
      <c r="G41" s="11"/>
    </row>
    <row r="42" ht="15.75" customHeight="1">
      <c r="E42" s="10"/>
      <c r="G42" s="11"/>
    </row>
    <row r="43" ht="15.75" customHeight="1">
      <c r="E43" s="10"/>
      <c r="G43" s="11"/>
    </row>
    <row r="44" ht="15.75" customHeight="1">
      <c r="E44" s="10"/>
      <c r="G44" s="11"/>
    </row>
    <row r="45" ht="15.75" customHeight="1">
      <c r="E45" s="10"/>
      <c r="G45" s="11"/>
    </row>
    <row r="46" ht="15.75" customHeight="1">
      <c r="E46" s="10"/>
      <c r="G46" s="11"/>
    </row>
    <row r="47" ht="15.75" customHeight="1">
      <c r="E47" s="10"/>
      <c r="G47" s="11"/>
    </row>
    <row r="48" ht="15.75" customHeight="1">
      <c r="E48" s="10"/>
      <c r="G48" s="11"/>
    </row>
    <row r="49" ht="15.75" customHeight="1">
      <c r="E49" s="10"/>
      <c r="G49" s="11"/>
    </row>
    <row r="50" ht="15.75" customHeight="1">
      <c r="E50" s="10"/>
      <c r="G50" s="11"/>
    </row>
    <row r="51" ht="15.75" customHeight="1">
      <c r="E51" s="10"/>
      <c r="G51" s="11"/>
    </row>
    <row r="52" ht="15.75" customHeight="1">
      <c r="E52" s="10"/>
      <c r="G52" s="11"/>
    </row>
    <row r="53" ht="15.75" customHeight="1">
      <c r="E53" s="10"/>
      <c r="G53" s="11"/>
    </row>
    <row r="54" ht="15.75" customHeight="1">
      <c r="E54" s="10"/>
      <c r="G54" s="11"/>
    </row>
    <row r="55" ht="15.75" customHeight="1">
      <c r="E55" s="10"/>
      <c r="G55" s="11"/>
    </row>
    <row r="56" ht="15.75" customHeight="1">
      <c r="E56" s="10"/>
      <c r="G56" s="11"/>
    </row>
    <row r="57" ht="15.75" customHeight="1">
      <c r="E57" s="10"/>
      <c r="G57" s="11"/>
    </row>
    <row r="58" ht="15.75" customHeight="1">
      <c r="E58" s="10"/>
      <c r="G58" s="11"/>
    </row>
    <row r="59" ht="15.75" customHeight="1">
      <c r="E59" s="10"/>
      <c r="G59" s="11"/>
    </row>
    <row r="60" ht="15.75" customHeight="1">
      <c r="E60" s="10"/>
      <c r="G60" s="11"/>
    </row>
    <row r="61" ht="15.75" customHeight="1">
      <c r="E61" s="10"/>
      <c r="G61" s="11"/>
    </row>
    <row r="62" ht="15.75" customHeight="1">
      <c r="E62" s="10"/>
      <c r="G62" s="11"/>
    </row>
    <row r="63" ht="15.75" customHeight="1">
      <c r="E63" s="10"/>
      <c r="G63" s="11"/>
    </row>
    <row r="64" ht="15.75" customHeight="1">
      <c r="E64" s="10"/>
      <c r="G64" s="11"/>
    </row>
    <row r="65" ht="15.75" customHeight="1">
      <c r="E65" s="10"/>
      <c r="G65" s="11"/>
    </row>
    <row r="66" ht="15.75" customHeight="1">
      <c r="E66" s="10"/>
      <c r="G66" s="11"/>
    </row>
    <row r="67" ht="15.75" customHeight="1">
      <c r="E67" s="10"/>
      <c r="G67" s="11"/>
    </row>
    <row r="68" ht="15.75" customHeight="1">
      <c r="E68" s="10"/>
      <c r="G68" s="11"/>
    </row>
    <row r="69" ht="15.75" customHeight="1">
      <c r="E69" s="10"/>
      <c r="G69" s="11"/>
    </row>
    <row r="70" ht="15.75" customHeight="1">
      <c r="E70" s="10"/>
      <c r="G70" s="11"/>
    </row>
    <row r="71" ht="15.75" customHeight="1">
      <c r="E71" s="10"/>
      <c r="G71" s="11"/>
    </row>
    <row r="72" ht="15.75" customHeight="1">
      <c r="E72" s="10"/>
      <c r="G72" s="11"/>
    </row>
    <row r="73" ht="15.75" customHeight="1">
      <c r="E73" s="10"/>
      <c r="G73" s="11"/>
    </row>
    <row r="74" ht="15.75" customHeight="1">
      <c r="E74" s="10"/>
      <c r="G74" s="11"/>
    </row>
    <row r="75" ht="15.75" customHeight="1">
      <c r="E75" s="10"/>
      <c r="G75" s="11"/>
    </row>
    <row r="76" ht="15.75" customHeight="1">
      <c r="E76" s="10"/>
      <c r="G76" s="11"/>
    </row>
    <row r="77" ht="15.75" customHeight="1">
      <c r="E77" s="10"/>
      <c r="G77" s="11"/>
    </row>
    <row r="78" ht="15.75" customHeight="1">
      <c r="E78" s="10"/>
      <c r="G78" s="11"/>
    </row>
    <row r="79" ht="15.75" customHeight="1">
      <c r="E79" s="10"/>
      <c r="G79" s="11"/>
    </row>
    <row r="80" ht="15.75" customHeight="1">
      <c r="E80" s="10"/>
      <c r="G80" s="11"/>
    </row>
    <row r="81" ht="15.75" customHeight="1">
      <c r="E81" s="10"/>
      <c r="G81" s="11"/>
    </row>
    <row r="82" ht="15.75" customHeight="1">
      <c r="E82" s="10"/>
      <c r="G82" s="11"/>
    </row>
    <row r="83" ht="15.75" customHeight="1">
      <c r="E83" s="10"/>
      <c r="G83" s="11"/>
    </row>
    <row r="84" ht="15.75" customHeight="1">
      <c r="E84" s="10"/>
      <c r="G84" s="11"/>
    </row>
    <row r="85" ht="15.75" customHeight="1">
      <c r="E85" s="10"/>
      <c r="G85" s="11"/>
    </row>
    <row r="86" ht="15.75" customHeight="1">
      <c r="E86" s="10"/>
      <c r="G86" s="11"/>
    </row>
    <row r="87" ht="15.75" customHeight="1">
      <c r="E87" s="10"/>
      <c r="G87" s="11"/>
    </row>
    <row r="88" ht="15.75" customHeight="1">
      <c r="E88" s="10"/>
      <c r="G88" s="11"/>
    </row>
    <row r="89" ht="15.75" customHeight="1">
      <c r="E89" s="10"/>
      <c r="G89" s="11"/>
    </row>
    <row r="90" ht="15.75" customHeight="1">
      <c r="E90" s="10"/>
      <c r="G90" s="11"/>
    </row>
    <row r="91" ht="15.75" customHeight="1">
      <c r="E91" s="10"/>
      <c r="G91" s="11"/>
    </row>
    <row r="92" ht="15.75" customHeight="1">
      <c r="E92" s="10"/>
      <c r="G92" s="11"/>
    </row>
    <row r="93" ht="15.75" customHeight="1">
      <c r="E93" s="10"/>
      <c r="G93" s="11"/>
    </row>
    <row r="94" ht="15.75" customHeight="1">
      <c r="E94" s="10"/>
      <c r="G94" s="11"/>
    </row>
    <row r="95" ht="15.75" customHeight="1">
      <c r="E95" s="10"/>
      <c r="G95" s="11"/>
    </row>
    <row r="96" ht="15.75" customHeight="1">
      <c r="E96" s="10"/>
      <c r="G96" s="11"/>
    </row>
    <row r="97" ht="15.75" customHeight="1">
      <c r="E97" s="10"/>
      <c r="G97" s="11"/>
    </row>
    <row r="98" ht="15.75" customHeight="1">
      <c r="E98" s="10"/>
      <c r="G98" s="11"/>
    </row>
    <row r="99" ht="15.75" customHeight="1">
      <c r="E99" s="10"/>
      <c r="G99" s="11"/>
    </row>
    <row r="100" ht="15.75" customHeight="1">
      <c r="E100" s="10"/>
      <c r="G100" s="11"/>
    </row>
    <row r="101" ht="15.75" customHeight="1">
      <c r="E101" s="10"/>
      <c r="G101" s="11"/>
    </row>
    <row r="102" ht="15.75" customHeight="1">
      <c r="E102" s="10"/>
      <c r="G102" s="11"/>
    </row>
    <row r="103" ht="15.75" customHeight="1">
      <c r="E103" s="10"/>
      <c r="G103" s="11"/>
    </row>
    <row r="104" ht="15.75" customHeight="1">
      <c r="E104" s="10"/>
      <c r="G104" s="11"/>
    </row>
    <row r="105" ht="15.75" customHeight="1">
      <c r="E105" s="10"/>
      <c r="G105" s="11"/>
    </row>
    <row r="106" ht="15.75" customHeight="1">
      <c r="E106" s="10"/>
      <c r="G106" s="11"/>
    </row>
    <row r="107" ht="15.75" customHeight="1">
      <c r="E107" s="10"/>
      <c r="G107" s="11"/>
    </row>
    <row r="108" ht="15.75" customHeight="1">
      <c r="E108" s="10"/>
      <c r="G108" s="11"/>
    </row>
    <row r="109" ht="15.75" customHeight="1">
      <c r="E109" s="10"/>
      <c r="G109" s="11"/>
    </row>
    <row r="110" ht="15.75" customHeight="1">
      <c r="E110" s="10"/>
      <c r="G110" s="11"/>
    </row>
    <row r="111" ht="15.75" customHeight="1">
      <c r="E111" s="10"/>
      <c r="G111" s="11"/>
    </row>
    <row r="112" ht="15.75" customHeight="1">
      <c r="E112" s="10"/>
      <c r="G112" s="11"/>
    </row>
    <row r="113" ht="15.75" customHeight="1">
      <c r="E113" s="10"/>
      <c r="G113" s="11"/>
    </row>
    <row r="114" ht="15.75" customHeight="1">
      <c r="E114" s="10"/>
      <c r="G114" s="11"/>
    </row>
    <row r="115" ht="15.75" customHeight="1">
      <c r="E115" s="10"/>
      <c r="G115" s="11"/>
    </row>
    <row r="116" ht="15.75" customHeight="1">
      <c r="E116" s="10"/>
      <c r="G116" s="11"/>
    </row>
    <row r="117" ht="15.75" customHeight="1">
      <c r="E117" s="10"/>
      <c r="G117" s="11"/>
    </row>
    <row r="118" ht="15.75" customHeight="1">
      <c r="E118" s="10"/>
      <c r="G118" s="11"/>
    </row>
    <row r="119" ht="15.75" customHeight="1">
      <c r="E119" s="10"/>
      <c r="G119" s="11"/>
    </row>
    <row r="120" ht="15.75" customHeight="1">
      <c r="E120" s="10"/>
      <c r="G120" s="11"/>
    </row>
    <row r="121" ht="15.75" customHeight="1">
      <c r="E121" s="10"/>
      <c r="G121" s="11"/>
    </row>
    <row r="122" ht="15.75" customHeight="1">
      <c r="E122" s="10"/>
      <c r="G122" s="11"/>
    </row>
    <row r="123" ht="15.75" customHeight="1">
      <c r="E123" s="10"/>
      <c r="G123" s="11"/>
    </row>
    <row r="124" ht="15.75" customHeight="1">
      <c r="E124" s="10"/>
      <c r="G124" s="11"/>
    </row>
    <row r="125" ht="15.75" customHeight="1">
      <c r="E125" s="10"/>
      <c r="G125" s="11"/>
    </row>
    <row r="126" ht="15.75" customHeight="1">
      <c r="E126" s="10"/>
      <c r="G126" s="11"/>
    </row>
    <row r="127" ht="15.75" customHeight="1">
      <c r="E127" s="10"/>
      <c r="G127" s="11"/>
    </row>
    <row r="128" ht="15.75" customHeight="1">
      <c r="E128" s="10"/>
      <c r="G128" s="11"/>
    </row>
    <row r="129" ht="15.75" customHeight="1">
      <c r="E129" s="10"/>
      <c r="G129" s="11"/>
    </row>
    <row r="130" ht="15.75" customHeight="1">
      <c r="E130" s="10"/>
      <c r="G130" s="11"/>
    </row>
    <row r="131" ht="15.75" customHeight="1">
      <c r="E131" s="10"/>
      <c r="G131" s="11"/>
    </row>
    <row r="132" ht="15.75" customHeight="1">
      <c r="E132" s="10"/>
      <c r="G132" s="11"/>
    </row>
    <row r="133" ht="15.75" customHeight="1">
      <c r="E133" s="10"/>
      <c r="G133" s="11"/>
    </row>
    <row r="134" ht="15.75" customHeight="1">
      <c r="E134" s="10"/>
      <c r="G134" s="11"/>
    </row>
    <row r="135" ht="15.75" customHeight="1">
      <c r="E135" s="10"/>
      <c r="G135" s="11"/>
    </row>
    <row r="136" ht="15.75" customHeight="1">
      <c r="E136" s="10"/>
      <c r="G136" s="11"/>
    </row>
    <row r="137" ht="15.75" customHeight="1">
      <c r="E137" s="10"/>
      <c r="G137" s="11"/>
    </row>
    <row r="138" ht="15.75" customHeight="1">
      <c r="E138" s="10"/>
      <c r="G138" s="11"/>
    </row>
    <row r="139" ht="15.75" customHeight="1">
      <c r="E139" s="10"/>
      <c r="G139" s="11"/>
    </row>
    <row r="140" ht="15.75" customHeight="1">
      <c r="E140" s="10"/>
      <c r="G140" s="11"/>
    </row>
    <row r="141" ht="15.75" customHeight="1">
      <c r="E141" s="10"/>
      <c r="G141" s="11"/>
    </row>
    <row r="142" ht="15.75" customHeight="1">
      <c r="E142" s="10"/>
      <c r="G142" s="11"/>
    </row>
    <row r="143" ht="15.75" customHeight="1">
      <c r="E143" s="10"/>
      <c r="G143" s="11"/>
    </row>
    <row r="144" ht="15.75" customHeight="1">
      <c r="E144" s="10"/>
      <c r="G144" s="11"/>
    </row>
    <row r="145" ht="15.75" customHeight="1">
      <c r="E145" s="10"/>
      <c r="G145" s="11"/>
    </row>
    <row r="146" ht="15.75" customHeight="1">
      <c r="E146" s="10"/>
      <c r="G146" s="11"/>
    </row>
    <row r="147" ht="15.75" customHeight="1">
      <c r="E147" s="10"/>
      <c r="G147" s="11"/>
    </row>
    <row r="148" ht="15.75" customHeight="1">
      <c r="E148" s="10"/>
      <c r="G148" s="11"/>
    </row>
    <row r="149" ht="15.75" customHeight="1">
      <c r="E149" s="10"/>
      <c r="G149" s="11"/>
    </row>
    <row r="150" ht="15.75" customHeight="1">
      <c r="E150" s="10"/>
      <c r="G150" s="11"/>
    </row>
    <row r="151" ht="15.75" customHeight="1">
      <c r="E151" s="10"/>
      <c r="G151" s="11"/>
    </row>
    <row r="152" ht="15.75" customHeight="1">
      <c r="E152" s="10"/>
      <c r="G152" s="11"/>
    </row>
    <row r="153" ht="15.75" customHeight="1">
      <c r="E153" s="10"/>
      <c r="G153" s="11"/>
    </row>
    <row r="154" ht="15.75" customHeight="1">
      <c r="E154" s="10"/>
      <c r="G154" s="11"/>
    </row>
    <row r="155" ht="15.75" customHeight="1">
      <c r="E155" s="10"/>
      <c r="G155" s="11"/>
    </row>
    <row r="156" ht="15.75" customHeight="1">
      <c r="E156" s="10"/>
      <c r="G156" s="11"/>
    </row>
    <row r="157" ht="15.75" customHeight="1">
      <c r="E157" s="10"/>
      <c r="G157" s="11"/>
    </row>
    <row r="158" ht="15.75" customHeight="1">
      <c r="E158" s="10"/>
      <c r="G158" s="11"/>
    </row>
    <row r="159" ht="15.75" customHeight="1">
      <c r="E159" s="10"/>
      <c r="G159" s="11"/>
    </row>
    <row r="160" ht="15.75" customHeight="1">
      <c r="E160" s="10"/>
      <c r="G160" s="11"/>
    </row>
    <row r="161" ht="15.75" customHeight="1">
      <c r="E161" s="10"/>
      <c r="G161" s="11"/>
    </row>
    <row r="162" ht="15.75" customHeight="1">
      <c r="E162" s="10"/>
      <c r="G162" s="11"/>
    </row>
    <row r="163" ht="15.75" customHeight="1">
      <c r="E163" s="10"/>
      <c r="G163" s="11"/>
    </row>
    <row r="164" ht="15.75" customHeight="1">
      <c r="E164" s="10"/>
      <c r="G164" s="11"/>
    </row>
    <row r="165" ht="15.75" customHeight="1">
      <c r="E165" s="10"/>
      <c r="G165" s="11"/>
    </row>
    <row r="166" ht="15.75" customHeight="1">
      <c r="E166" s="10"/>
      <c r="G166" s="11"/>
    </row>
    <row r="167" ht="15.75" customHeight="1">
      <c r="E167" s="10"/>
      <c r="G167" s="11"/>
    </row>
    <row r="168" ht="15.75" customHeight="1">
      <c r="E168" s="10"/>
      <c r="G168" s="11"/>
    </row>
    <row r="169" ht="15.75" customHeight="1">
      <c r="E169" s="10"/>
      <c r="G169" s="11"/>
    </row>
    <row r="170" ht="15.75" customHeight="1">
      <c r="E170" s="10"/>
      <c r="G170" s="11"/>
    </row>
    <row r="171" ht="15.75" customHeight="1">
      <c r="E171" s="10"/>
      <c r="G171" s="11"/>
    </row>
    <row r="172" ht="15.75" customHeight="1">
      <c r="E172" s="10"/>
      <c r="G172" s="11"/>
    </row>
    <row r="173" ht="15.75" customHeight="1">
      <c r="E173" s="10"/>
      <c r="G173" s="11"/>
    </row>
    <row r="174" ht="15.75" customHeight="1">
      <c r="E174" s="10"/>
      <c r="G174" s="11"/>
    </row>
    <row r="175" ht="15.75" customHeight="1">
      <c r="E175" s="10"/>
      <c r="G175" s="11"/>
    </row>
    <row r="176" ht="15.75" customHeight="1">
      <c r="E176" s="10"/>
      <c r="G176" s="11"/>
    </row>
    <row r="177" ht="15.75" customHeight="1">
      <c r="E177" s="10"/>
      <c r="G177" s="11"/>
    </row>
    <row r="178" ht="15.75" customHeight="1">
      <c r="E178" s="10"/>
      <c r="G178" s="11"/>
    </row>
    <row r="179" ht="15.75" customHeight="1">
      <c r="E179" s="10"/>
      <c r="G179" s="11"/>
    </row>
    <row r="180" ht="15.75" customHeight="1">
      <c r="E180" s="10"/>
      <c r="G180" s="11"/>
    </row>
    <row r="181" ht="15.75" customHeight="1">
      <c r="E181" s="10"/>
      <c r="G181" s="11"/>
    </row>
    <row r="182" ht="15.75" customHeight="1">
      <c r="E182" s="10"/>
      <c r="G182" s="11"/>
    </row>
    <row r="183" ht="15.75" customHeight="1">
      <c r="E183" s="10"/>
      <c r="G183" s="11"/>
    </row>
    <row r="184" ht="15.75" customHeight="1">
      <c r="E184" s="10"/>
      <c r="G184" s="11"/>
    </row>
    <row r="185" ht="15.75" customHeight="1">
      <c r="E185" s="10"/>
      <c r="G185" s="11"/>
    </row>
    <row r="186" ht="15.75" customHeight="1">
      <c r="E186" s="10"/>
      <c r="G186" s="11"/>
    </row>
    <row r="187" ht="15.75" customHeight="1">
      <c r="E187" s="10"/>
      <c r="G187" s="11"/>
    </row>
    <row r="188" ht="15.75" customHeight="1">
      <c r="E188" s="10"/>
      <c r="G188" s="11"/>
    </row>
    <row r="189" ht="15.75" customHeight="1">
      <c r="E189" s="10"/>
      <c r="G189" s="11"/>
    </row>
    <row r="190" ht="15.75" customHeight="1">
      <c r="E190" s="10"/>
      <c r="G190" s="11"/>
    </row>
    <row r="191" ht="15.75" customHeight="1">
      <c r="E191" s="10"/>
      <c r="G191" s="11"/>
    </row>
    <row r="192" ht="15.75" customHeight="1">
      <c r="E192" s="10"/>
      <c r="G192" s="11"/>
    </row>
    <row r="193" ht="15.75" customHeight="1">
      <c r="E193" s="10"/>
      <c r="G193" s="11"/>
    </row>
    <row r="194" ht="15.75" customHeight="1">
      <c r="E194" s="10"/>
      <c r="G194" s="11"/>
    </row>
    <row r="195" ht="15.75" customHeight="1">
      <c r="E195" s="10"/>
      <c r="G195" s="11"/>
    </row>
    <row r="196" ht="15.75" customHeight="1">
      <c r="E196" s="10"/>
      <c r="G196" s="11"/>
    </row>
    <row r="197" ht="15.75" customHeight="1">
      <c r="E197" s="10"/>
      <c r="G197" s="11"/>
    </row>
    <row r="198" ht="15.75" customHeight="1">
      <c r="E198" s="10"/>
      <c r="G198" s="11"/>
    </row>
    <row r="199" ht="15.75" customHeight="1">
      <c r="E199" s="10"/>
      <c r="G199" s="11"/>
    </row>
    <row r="200" ht="15.75" customHeight="1">
      <c r="E200" s="10"/>
      <c r="G200" s="11"/>
    </row>
    <row r="201" ht="15.75" customHeight="1">
      <c r="E201" s="10"/>
      <c r="G201" s="11"/>
    </row>
    <row r="202" ht="15.75" customHeight="1">
      <c r="E202" s="10"/>
      <c r="G202" s="11"/>
    </row>
    <row r="203" ht="15.75" customHeight="1">
      <c r="E203" s="10"/>
      <c r="G203" s="11"/>
    </row>
    <row r="204" ht="15.75" customHeight="1">
      <c r="E204" s="10"/>
      <c r="G204" s="11"/>
    </row>
    <row r="205" ht="15.75" customHeight="1">
      <c r="E205" s="10"/>
      <c r="G205" s="11"/>
    </row>
    <row r="206" ht="15.75" customHeight="1">
      <c r="E206" s="10"/>
      <c r="G206" s="11"/>
    </row>
    <row r="207" ht="15.75" customHeight="1">
      <c r="E207" s="10"/>
      <c r="G207" s="11"/>
    </row>
    <row r="208" ht="15.75" customHeight="1">
      <c r="E208" s="10"/>
      <c r="G208" s="11"/>
    </row>
    <row r="209" ht="15.75" customHeight="1">
      <c r="E209" s="10"/>
      <c r="G209" s="11"/>
    </row>
    <row r="210" ht="15.75" customHeight="1">
      <c r="E210" s="10"/>
      <c r="G210" s="11"/>
    </row>
    <row r="211" ht="15.75" customHeight="1">
      <c r="E211" s="10"/>
      <c r="G211" s="11"/>
    </row>
    <row r="212" ht="15.75" customHeight="1">
      <c r="E212" s="10"/>
      <c r="G212" s="11"/>
    </row>
    <row r="213" ht="15.75" customHeight="1">
      <c r="E213" s="10"/>
      <c r="G213" s="11"/>
    </row>
    <row r="214" ht="15.75" customHeight="1">
      <c r="E214" s="10"/>
      <c r="G214" s="11"/>
    </row>
    <row r="215" ht="15.75" customHeight="1">
      <c r="E215" s="10"/>
      <c r="G215" s="11"/>
    </row>
    <row r="216" ht="15.75" customHeight="1">
      <c r="E216" s="10"/>
      <c r="G216" s="11"/>
    </row>
    <row r="217" ht="15.75" customHeight="1">
      <c r="E217" s="10"/>
      <c r="G217" s="11"/>
    </row>
    <row r="218" ht="15.75" customHeight="1">
      <c r="E218" s="10"/>
      <c r="G218" s="11"/>
    </row>
    <row r="219" ht="15.75" customHeight="1">
      <c r="E219" s="10"/>
      <c r="G219" s="11"/>
    </row>
    <row r="220" ht="15.75" customHeight="1">
      <c r="E220" s="10"/>
      <c r="G220" s="11"/>
    </row>
    <row r="221" ht="15.75" customHeight="1">
      <c r="E221" s="10"/>
      <c r="G221" s="11"/>
    </row>
    <row r="222" ht="15.75" customHeight="1">
      <c r="E222" s="10"/>
      <c r="G222" s="11"/>
    </row>
    <row r="223" ht="15.75" customHeight="1">
      <c r="E223" s="10"/>
      <c r="G223" s="11"/>
    </row>
    <row r="224" ht="15.75" customHeight="1">
      <c r="E224" s="10"/>
      <c r="G224" s="11"/>
    </row>
    <row r="225" ht="15.75" customHeight="1">
      <c r="E225" s="10"/>
      <c r="G225" s="11"/>
    </row>
    <row r="226" ht="15.75" customHeight="1">
      <c r="E226" s="10"/>
      <c r="G226" s="11"/>
    </row>
    <row r="227" ht="15.75" customHeight="1">
      <c r="E227" s="10"/>
      <c r="G227" s="11"/>
    </row>
    <row r="228" ht="15.75" customHeight="1">
      <c r="E228" s="10"/>
      <c r="G228" s="11"/>
    </row>
    <row r="229" ht="15.75" customHeight="1">
      <c r="E229" s="10"/>
      <c r="G229" s="11"/>
    </row>
    <row r="230" ht="15.75" customHeight="1">
      <c r="E230" s="10"/>
      <c r="G230" s="11"/>
    </row>
    <row r="231" ht="15.75" customHeight="1">
      <c r="E231" s="10"/>
      <c r="G231" s="11"/>
    </row>
    <row r="232" ht="15.75" customHeight="1">
      <c r="E232" s="10"/>
      <c r="G232" s="11"/>
    </row>
    <row r="233" ht="15.75" customHeight="1">
      <c r="E233" s="10"/>
      <c r="G233" s="11"/>
    </row>
    <row r="234" ht="15.75" customHeight="1">
      <c r="E234" s="10"/>
      <c r="G234" s="11"/>
    </row>
    <row r="235" ht="15.75" customHeight="1">
      <c r="E235" s="10"/>
      <c r="G235" s="11"/>
    </row>
    <row r="236" ht="15.75" customHeight="1">
      <c r="E236" s="10"/>
      <c r="G236" s="11"/>
    </row>
    <row r="237" ht="15.75" customHeight="1">
      <c r="E237" s="10"/>
      <c r="G237" s="11"/>
    </row>
    <row r="238" ht="15.75" customHeight="1">
      <c r="E238" s="10"/>
      <c r="G238" s="11"/>
    </row>
    <row r="239" ht="15.75" customHeight="1">
      <c r="E239" s="10"/>
      <c r="G239" s="11"/>
    </row>
    <row r="240" ht="15.75" customHeight="1">
      <c r="E240" s="10"/>
      <c r="G240" s="11"/>
    </row>
    <row r="241" ht="15.75" customHeight="1">
      <c r="E241" s="10"/>
      <c r="G241" s="11"/>
    </row>
    <row r="242" ht="15.75" customHeight="1">
      <c r="E242" s="10"/>
      <c r="G242" s="11"/>
    </row>
    <row r="243" ht="15.75" customHeight="1">
      <c r="E243" s="10"/>
      <c r="G243" s="11"/>
    </row>
    <row r="244" ht="15.75" customHeight="1">
      <c r="E244" s="10"/>
      <c r="G244" s="11"/>
    </row>
    <row r="245" ht="15.75" customHeight="1">
      <c r="E245" s="10"/>
      <c r="G245" s="11"/>
    </row>
    <row r="246" ht="15.75" customHeight="1">
      <c r="E246" s="10"/>
      <c r="G246" s="11"/>
    </row>
    <row r="247" ht="15.75" customHeight="1">
      <c r="E247" s="10"/>
      <c r="G247" s="11"/>
    </row>
    <row r="248" ht="15.75" customHeight="1">
      <c r="E248" s="10"/>
      <c r="G248" s="11"/>
    </row>
    <row r="249" ht="15.75" customHeight="1">
      <c r="E249" s="10"/>
      <c r="G249" s="11"/>
    </row>
    <row r="250" ht="15.75" customHeight="1">
      <c r="E250" s="10"/>
      <c r="G250" s="11"/>
    </row>
    <row r="251" ht="15.75" customHeight="1">
      <c r="E251" s="10"/>
      <c r="G251" s="11"/>
    </row>
    <row r="252" ht="15.75" customHeight="1">
      <c r="E252" s="10"/>
      <c r="G252" s="11"/>
    </row>
    <row r="253" ht="15.75" customHeight="1">
      <c r="E253" s="10"/>
      <c r="G253" s="11"/>
    </row>
    <row r="254" ht="15.75" customHeight="1">
      <c r="E254" s="10"/>
      <c r="G254" s="11"/>
    </row>
    <row r="255" ht="15.75" customHeight="1">
      <c r="E255" s="10"/>
      <c r="G255" s="11"/>
    </row>
    <row r="256" ht="15.75" customHeight="1">
      <c r="E256" s="10"/>
      <c r="G256" s="11"/>
    </row>
    <row r="257" ht="15.75" customHeight="1">
      <c r="E257" s="10"/>
      <c r="G257" s="11"/>
    </row>
    <row r="258" ht="15.75" customHeight="1">
      <c r="E258" s="10"/>
      <c r="G258" s="11"/>
    </row>
    <row r="259" ht="15.75" customHeight="1">
      <c r="E259" s="10"/>
      <c r="G259" s="11"/>
    </row>
    <row r="260" ht="15.75" customHeight="1">
      <c r="E260" s="10"/>
      <c r="G260" s="11"/>
    </row>
    <row r="261" ht="15.75" customHeight="1">
      <c r="E261" s="10"/>
      <c r="G261" s="11"/>
    </row>
    <row r="262" ht="15.75" customHeight="1">
      <c r="E262" s="10"/>
      <c r="G262" s="11"/>
    </row>
    <row r="263" ht="15.75" customHeight="1">
      <c r="E263" s="10"/>
      <c r="G263" s="11"/>
    </row>
    <row r="264" ht="15.75" customHeight="1">
      <c r="E264" s="10"/>
      <c r="G264" s="11"/>
    </row>
    <row r="265" ht="15.75" customHeight="1">
      <c r="E265" s="10"/>
      <c r="G265" s="11"/>
    </row>
    <row r="266" ht="15.75" customHeight="1">
      <c r="E266" s="10"/>
      <c r="G266" s="11"/>
    </row>
    <row r="267" ht="15.75" customHeight="1">
      <c r="E267" s="10"/>
      <c r="G267" s="11"/>
    </row>
    <row r="268" ht="15.75" customHeight="1">
      <c r="E268" s="10"/>
      <c r="G268" s="11"/>
    </row>
    <row r="269" ht="15.75" customHeight="1">
      <c r="E269" s="10"/>
      <c r="G269" s="11"/>
    </row>
    <row r="270" ht="15.75" customHeight="1">
      <c r="E270" s="10"/>
      <c r="G270" s="11"/>
    </row>
    <row r="271" ht="15.75" customHeight="1">
      <c r="E271" s="10"/>
      <c r="G271" s="11"/>
    </row>
    <row r="272" ht="15.75" customHeight="1">
      <c r="E272" s="10"/>
      <c r="G272" s="11"/>
    </row>
    <row r="273" ht="15.75" customHeight="1">
      <c r="E273" s="10"/>
      <c r="G273" s="11"/>
    </row>
    <row r="274" ht="15.75" customHeight="1">
      <c r="E274" s="10"/>
      <c r="G274" s="11"/>
    </row>
    <row r="275" ht="15.75" customHeight="1">
      <c r="E275" s="10"/>
      <c r="G275" s="11"/>
    </row>
    <row r="276" ht="15.75" customHeight="1">
      <c r="E276" s="10"/>
      <c r="G276" s="11"/>
    </row>
    <row r="277" ht="15.75" customHeight="1">
      <c r="E277" s="10"/>
      <c r="G277" s="11"/>
    </row>
    <row r="278" ht="15.75" customHeight="1">
      <c r="E278" s="10"/>
      <c r="G278" s="11"/>
    </row>
    <row r="279" ht="15.75" customHeight="1">
      <c r="E279" s="10"/>
      <c r="G279" s="11"/>
    </row>
    <row r="280" ht="15.75" customHeight="1">
      <c r="E280" s="10"/>
      <c r="G280" s="11"/>
    </row>
    <row r="281" ht="15.75" customHeight="1">
      <c r="E281" s="10"/>
      <c r="G281" s="11"/>
    </row>
    <row r="282" ht="15.75" customHeight="1">
      <c r="E282" s="10"/>
      <c r="G282" s="11"/>
    </row>
    <row r="283" ht="15.75" customHeight="1">
      <c r="E283" s="10"/>
      <c r="G283" s="11"/>
    </row>
    <row r="284" ht="15.75" customHeight="1">
      <c r="E284" s="10"/>
      <c r="G284" s="11"/>
    </row>
    <row r="285" ht="15.75" customHeight="1">
      <c r="E285" s="10"/>
      <c r="G285" s="11"/>
    </row>
    <row r="286" ht="15.75" customHeight="1">
      <c r="E286" s="10"/>
      <c r="G286" s="11"/>
    </row>
    <row r="287" ht="15.75" customHeight="1">
      <c r="E287" s="10"/>
      <c r="G287" s="11"/>
    </row>
    <row r="288" ht="15.75" customHeight="1">
      <c r="E288" s="10"/>
      <c r="G288" s="11"/>
    </row>
    <row r="289" ht="15.75" customHeight="1">
      <c r="E289" s="10"/>
      <c r="G289" s="11"/>
    </row>
    <row r="290" ht="15.75" customHeight="1">
      <c r="E290" s="10"/>
      <c r="G290" s="11"/>
    </row>
    <row r="291" ht="15.75" customHeight="1">
      <c r="E291" s="10"/>
      <c r="G291" s="11"/>
    </row>
    <row r="292" ht="15.75" customHeight="1">
      <c r="E292" s="10"/>
      <c r="G292" s="11"/>
    </row>
    <row r="293" ht="15.75" customHeight="1">
      <c r="E293" s="10"/>
      <c r="G293" s="11"/>
    </row>
    <row r="294" ht="15.75" customHeight="1">
      <c r="E294" s="10"/>
      <c r="G294" s="11"/>
    </row>
    <row r="295" ht="15.75" customHeight="1">
      <c r="E295" s="10"/>
      <c r="G295" s="11"/>
    </row>
    <row r="296" ht="15.75" customHeight="1">
      <c r="E296" s="10"/>
      <c r="G296" s="11"/>
    </row>
    <row r="297" ht="15.75" customHeight="1">
      <c r="E297" s="10"/>
      <c r="G297" s="11"/>
    </row>
    <row r="298" ht="15.75" customHeight="1">
      <c r="E298" s="10"/>
      <c r="G298" s="11"/>
    </row>
    <row r="299" ht="15.75" customHeight="1">
      <c r="E299" s="10"/>
      <c r="G299" s="11"/>
    </row>
    <row r="300" ht="15.75" customHeight="1">
      <c r="E300" s="10"/>
      <c r="G300" s="11"/>
    </row>
    <row r="301" ht="15.75" customHeight="1">
      <c r="E301" s="10"/>
      <c r="G301" s="11"/>
    </row>
    <row r="302" ht="15.75" customHeight="1">
      <c r="E302" s="10"/>
      <c r="G302" s="11"/>
    </row>
    <row r="303" ht="15.75" customHeight="1">
      <c r="E303" s="10"/>
      <c r="G303" s="11"/>
    </row>
    <row r="304" ht="15.75" customHeight="1">
      <c r="E304" s="10"/>
      <c r="G304" s="11"/>
    </row>
    <row r="305" ht="15.75" customHeight="1">
      <c r="E305" s="10"/>
      <c r="G305" s="11"/>
    </row>
    <row r="306" ht="15.75" customHeight="1">
      <c r="E306" s="10"/>
      <c r="G306" s="11"/>
    </row>
    <row r="307" ht="15.75" customHeight="1">
      <c r="E307" s="10"/>
      <c r="G307" s="11"/>
    </row>
    <row r="308" ht="15.75" customHeight="1">
      <c r="E308" s="10"/>
      <c r="G308" s="11"/>
    </row>
    <row r="309" ht="15.75" customHeight="1">
      <c r="E309" s="10"/>
      <c r="G309" s="11"/>
    </row>
    <row r="310" ht="15.75" customHeight="1">
      <c r="E310" s="10"/>
      <c r="G310" s="11"/>
    </row>
    <row r="311" ht="15.75" customHeight="1">
      <c r="E311" s="10"/>
      <c r="G311" s="11"/>
    </row>
    <row r="312" ht="15.75" customHeight="1">
      <c r="E312" s="10"/>
      <c r="G312" s="11"/>
    </row>
    <row r="313" ht="15.75" customHeight="1">
      <c r="E313" s="10"/>
      <c r="G313" s="11"/>
    </row>
    <row r="314" ht="15.75" customHeight="1">
      <c r="E314" s="10"/>
      <c r="G314" s="11"/>
    </row>
    <row r="315" ht="15.75" customHeight="1">
      <c r="E315" s="10"/>
      <c r="G315" s="11"/>
    </row>
    <row r="316" ht="15.75" customHeight="1">
      <c r="E316" s="10"/>
      <c r="G316" s="11"/>
    </row>
    <row r="317" ht="15.75" customHeight="1">
      <c r="E317" s="10"/>
      <c r="G317" s="11"/>
    </row>
    <row r="318" ht="15.75" customHeight="1">
      <c r="E318" s="10"/>
      <c r="G318" s="11"/>
    </row>
    <row r="319" ht="15.75" customHeight="1">
      <c r="E319" s="10"/>
      <c r="G319" s="11"/>
    </row>
    <row r="320" ht="15.75" customHeight="1">
      <c r="E320" s="10"/>
      <c r="G320" s="11"/>
    </row>
    <row r="321" ht="15.75" customHeight="1">
      <c r="E321" s="10"/>
      <c r="G321" s="11"/>
    </row>
    <row r="322" ht="15.75" customHeight="1">
      <c r="E322" s="10"/>
      <c r="G322" s="11"/>
    </row>
    <row r="323" ht="15.75" customHeight="1">
      <c r="E323" s="10"/>
      <c r="G323" s="11"/>
    </row>
    <row r="324" ht="15.75" customHeight="1">
      <c r="E324" s="10"/>
      <c r="G324" s="11"/>
    </row>
    <row r="325" ht="15.75" customHeight="1">
      <c r="E325" s="10"/>
      <c r="G325" s="11"/>
    </row>
    <row r="326" ht="15.75" customHeight="1">
      <c r="E326" s="10"/>
      <c r="G326" s="11"/>
    </row>
    <row r="327" ht="15.75" customHeight="1">
      <c r="E327" s="10"/>
      <c r="G327" s="11"/>
    </row>
    <row r="328" ht="15.75" customHeight="1">
      <c r="E328" s="10"/>
      <c r="G328" s="11"/>
    </row>
    <row r="329" ht="15.75" customHeight="1">
      <c r="E329" s="10"/>
      <c r="G329" s="11"/>
    </row>
    <row r="330" ht="15.75" customHeight="1">
      <c r="E330" s="10"/>
      <c r="G330" s="11"/>
    </row>
    <row r="331" ht="15.75" customHeight="1">
      <c r="E331" s="10"/>
      <c r="G331" s="11"/>
    </row>
    <row r="332" ht="15.75" customHeight="1">
      <c r="E332" s="10"/>
      <c r="G332" s="11"/>
    </row>
    <row r="333" ht="15.75" customHeight="1">
      <c r="E333" s="10"/>
      <c r="G333" s="11"/>
    </row>
    <row r="334" ht="15.75" customHeight="1">
      <c r="E334" s="10"/>
      <c r="G334" s="11"/>
    </row>
    <row r="335" ht="15.75" customHeight="1">
      <c r="E335" s="10"/>
      <c r="G335" s="11"/>
    </row>
    <row r="336" ht="15.75" customHeight="1">
      <c r="E336" s="10"/>
      <c r="G336" s="11"/>
    </row>
    <row r="337" ht="15.75" customHeight="1">
      <c r="E337" s="10"/>
      <c r="G337" s="11"/>
    </row>
    <row r="338" ht="15.75" customHeight="1">
      <c r="E338" s="10"/>
      <c r="G338" s="11"/>
    </row>
    <row r="339" ht="15.75" customHeight="1">
      <c r="E339" s="10"/>
      <c r="G339" s="11"/>
    </row>
    <row r="340" ht="15.75" customHeight="1">
      <c r="E340" s="10"/>
      <c r="G340" s="11"/>
    </row>
    <row r="341" ht="15.75" customHeight="1">
      <c r="E341" s="10"/>
      <c r="G341" s="11"/>
    </row>
    <row r="342" ht="15.75" customHeight="1">
      <c r="E342" s="10"/>
      <c r="G342" s="11"/>
    </row>
    <row r="343" ht="15.75" customHeight="1">
      <c r="E343" s="10"/>
      <c r="G343" s="11"/>
    </row>
    <row r="344" ht="15.75" customHeight="1">
      <c r="E344" s="10"/>
      <c r="G344" s="11"/>
    </row>
    <row r="345" ht="15.75" customHeight="1">
      <c r="E345" s="10"/>
      <c r="G345" s="11"/>
    </row>
    <row r="346" ht="15.75" customHeight="1">
      <c r="E346" s="10"/>
      <c r="G346" s="11"/>
    </row>
    <row r="347" ht="15.75" customHeight="1">
      <c r="E347" s="10"/>
      <c r="G347" s="11"/>
    </row>
    <row r="348" ht="15.75" customHeight="1">
      <c r="E348" s="10"/>
      <c r="G348" s="11"/>
    </row>
    <row r="349" ht="15.75" customHeight="1">
      <c r="E349" s="10"/>
      <c r="G349" s="11"/>
    </row>
    <row r="350" ht="15.75" customHeight="1">
      <c r="E350" s="10"/>
      <c r="G350" s="11"/>
    </row>
    <row r="351" ht="15.75" customHeight="1">
      <c r="E351" s="10"/>
      <c r="G351" s="11"/>
    </row>
    <row r="352" ht="15.75" customHeight="1">
      <c r="E352" s="10"/>
      <c r="G352" s="11"/>
    </row>
    <row r="353" ht="15.75" customHeight="1">
      <c r="E353" s="10"/>
      <c r="G353" s="11"/>
    </row>
    <row r="354" ht="15.75" customHeight="1">
      <c r="E354" s="10"/>
      <c r="G354" s="11"/>
    </row>
    <row r="355" ht="15.75" customHeight="1">
      <c r="E355" s="10"/>
      <c r="G355" s="11"/>
    </row>
    <row r="356" ht="15.75" customHeight="1">
      <c r="E356" s="10"/>
      <c r="G356" s="11"/>
    </row>
    <row r="357" ht="15.75" customHeight="1">
      <c r="E357" s="10"/>
      <c r="G357" s="11"/>
    </row>
    <row r="358" ht="15.75" customHeight="1">
      <c r="E358" s="10"/>
      <c r="G358" s="11"/>
    </row>
    <row r="359" ht="15.75" customHeight="1">
      <c r="E359" s="10"/>
      <c r="G359" s="11"/>
    </row>
    <row r="360" ht="15.75" customHeight="1">
      <c r="E360" s="10"/>
      <c r="G360" s="11"/>
    </row>
    <row r="361" ht="15.75" customHeight="1">
      <c r="E361" s="10"/>
      <c r="G361" s="11"/>
    </row>
    <row r="362" ht="15.75" customHeight="1">
      <c r="E362" s="10"/>
      <c r="G362" s="11"/>
    </row>
    <row r="363" ht="15.75" customHeight="1">
      <c r="E363" s="10"/>
      <c r="G363" s="11"/>
    </row>
    <row r="364" ht="15.75" customHeight="1">
      <c r="E364" s="10"/>
      <c r="G364" s="11"/>
    </row>
    <row r="365" ht="15.75" customHeight="1">
      <c r="E365" s="10"/>
      <c r="G365" s="11"/>
    </row>
    <row r="366" ht="15.75" customHeight="1">
      <c r="E366" s="10"/>
      <c r="G366" s="11"/>
    </row>
    <row r="367" ht="15.75" customHeight="1">
      <c r="E367" s="10"/>
      <c r="G367" s="11"/>
    </row>
    <row r="368" ht="15.75" customHeight="1">
      <c r="E368" s="10"/>
      <c r="G368" s="11"/>
    </row>
    <row r="369" ht="15.75" customHeight="1">
      <c r="E369" s="10"/>
      <c r="G369" s="11"/>
    </row>
    <row r="370" ht="15.75" customHeight="1">
      <c r="E370" s="10"/>
      <c r="G370" s="11"/>
    </row>
    <row r="371" ht="15.75" customHeight="1">
      <c r="E371" s="10"/>
      <c r="G371" s="11"/>
    </row>
    <row r="372" ht="15.75" customHeight="1">
      <c r="E372" s="10"/>
      <c r="G372" s="11"/>
    </row>
    <row r="373" ht="15.75" customHeight="1">
      <c r="E373" s="10"/>
      <c r="G373" s="11"/>
    </row>
    <row r="374" ht="15.75" customHeight="1">
      <c r="E374" s="10"/>
      <c r="G374" s="11"/>
    </row>
    <row r="375" ht="15.75" customHeight="1">
      <c r="E375" s="10"/>
      <c r="G375" s="11"/>
    </row>
    <row r="376" ht="15.75" customHeight="1">
      <c r="E376" s="10"/>
      <c r="G376" s="11"/>
    </row>
    <row r="377" ht="15.75" customHeight="1">
      <c r="E377" s="10"/>
      <c r="G377" s="11"/>
    </row>
    <row r="378" ht="15.75" customHeight="1">
      <c r="E378" s="10"/>
      <c r="G378" s="11"/>
    </row>
    <row r="379" ht="15.75" customHeight="1">
      <c r="E379" s="10"/>
      <c r="G379" s="11"/>
    </row>
    <row r="380" ht="15.75" customHeight="1">
      <c r="E380" s="10"/>
      <c r="G380" s="11"/>
    </row>
    <row r="381" ht="15.75" customHeight="1">
      <c r="E381" s="10"/>
      <c r="G381" s="11"/>
    </row>
    <row r="382" ht="15.75" customHeight="1">
      <c r="E382" s="10"/>
      <c r="G382" s="11"/>
    </row>
    <row r="383" ht="15.75" customHeight="1">
      <c r="E383" s="10"/>
      <c r="G383" s="11"/>
    </row>
    <row r="384" ht="15.75" customHeight="1">
      <c r="E384" s="10"/>
      <c r="G384" s="11"/>
    </row>
    <row r="385" ht="15.75" customHeight="1">
      <c r="E385" s="10"/>
      <c r="G385" s="11"/>
    </row>
    <row r="386" ht="15.75" customHeight="1">
      <c r="E386" s="10"/>
      <c r="G386" s="11"/>
    </row>
    <row r="387" ht="15.75" customHeight="1">
      <c r="E387" s="10"/>
      <c r="G387" s="11"/>
    </row>
    <row r="388" ht="15.75" customHeight="1">
      <c r="E388" s="10"/>
      <c r="G388" s="11"/>
    </row>
    <row r="389" ht="15.75" customHeight="1">
      <c r="E389" s="10"/>
      <c r="G389" s="11"/>
    </row>
    <row r="390" ht="15.75" customHeight="1">
      <c r="E390" s="10"/>
      <c r="G390" s="11"/>
    </row>
    <row r="391" ht="15.75" customHeight="1">
      <c r="E391" s="10"/>
      <c r="G391" s="11"/>
    </row>
    <row r="392" ht="15.75" customHeight="1">
      <c r="E392" s="10"/>
      <c r="G392" s="11"/>
    </row>
    <row r="393" ht="15.75" customHeight="1">
      <c r="E393" s="10"/>
      <c r="G393" s="11"/>
    </row>
    <row r="394" ht="15.75" customHeight="1">
      <c r="E394" s="10"/>
      <c r="G394" s="11"/>
    </row>
    <row r="395" ht="15.75" customHeight="1">
      <c r="E395" s="10"/>
      <c r="G395" s="11"/>
    </row>
    <row r="396" ht="15.75" customHeight="1">
      <c r="E396" s="10"/>
      <c r="G396" s="11"/>
    </row>
    <row r="397" ht="15.75" customHeight="1">
      <c r="E397" s="10"/>
      <c r="G397" s="11"/>
    </row>
    <row r="398" ht="15.75" customHeight="1">
      <c r="E398" s="10"/>
      <c r="G398" s="11"/>
    </row>
    <row r="399" ht="15.75" customHeight="1">
      <c r="E399" s="10"/>
      <c r="G399" s="11"/>
    </row>
    <row r="400" ht="15.75" customHeight="1">
      <c r="E400" s="10"/>
      <c r="G400" s="11"/>
    </row>
    <row r="401" ht="15.75" customHeight="1">
      <c r="E401" s="10"/>
      <c r="G401" s="11"/>
    </row>
    <row r="402" ht="15.75" customHeight="1">
      <c r="E402" s="10"/>
      <c r="G402" s="11"/>
    </row>
    <row r="403" ht="15.75" customHeight="1">
      <c r="E403" s="10"/>
      <c r="G403" s="11"/>
    </row>
    <row r="404" ht="15.75" customHeight="1">
      <c r="E404" s="10"/>
      <c r="G404" s="11"/>
    </row>
    <row r="405" ht="15.75" customHeight="1">
      <c r="E405" s="10"/>
      <c r="G405" s="11"/>
    </row>
    <row r="406" ht="15.75" customHeight="1">
      <c r="E406" s="10"/>
      <c r="G406" s="11"/>
    </row>
    <row r="407" ht="15.75" customHeight="1">
      <c r="E407" s="10"/>
      <c r="G407" s="11"/>
    </row>
    <row r="408" ht="15.75" customHeight="1">
      <c r="E408" s="10"/>
      <c r="G408" s="11"/>
    </row>
    <row r="409" ht="15.75" customHeight="1">
      <c r="E409" s="10"/>
      <c r="G409" s="11"/>
    </row>
    <row r="410" ht="15.75" customHeight="1">
      <c r="E410" s="10"/>
      <c r="G410" s="11"/>
    </row>
    <row r="411" ht="15.75" customHeight="1">
      <c r="E411" s="10"/>
      <c r="G411" s="11"/>
    </row>
    <row r="412" ht="15.75" customHeight="1">
      <c r="E412" s="10"/>
      <c r="G412" s="11"/>
    </row>
    <row r="413" ht="15.75" customHeight="1">
      <c r="E413" s="10"/>
      <c r="G413" s="11"/>
    </row>
    <row r="414" ht="15.75" customHeight="1">
      <c r="E414" s="10"/>
      <c r="G414" s="11"/>
    </row>
    <row r="415" ht="15.75" customHeight="1">
      <c r="E415" s="10"/>
      <c r="G415" s="11"/>
    </row>
    <row r="416" ht="15.75" customHeight="1">
      <c r="E416" s="10"/>
      <c r="G416" s="11"/>
    </row>
    <row r="417" ht="15.75" customHeight="1">
      <c r="E417" s="10"/>
      <c r="G417" s="11"/>
    </row>
    <row r="418" ht="15.75" customHeight="1">
      <c r="E418" s="10"/>
      <c r="G418" s="11"/>
    </row>
    <row r="419" ht="15.75" customHeight="1">
      <c r="E419" s="10"/>
      <c r="G419" s="11"/>
    </row>
    <row r="420" ht="15.75" customHeight="1">
      <c r="E420" s="10"/>
      <c r="G420" s="11"/>
    </row>
    <row r="421" ht="15.75" customHeight="1">
      <c r="E421" s="10"/>
      <c r="G421" s="11"/>
    </row>
    <row r="422" ht="15.75" customHeight="1">
      <c r="E422" s="10"/>
      <c r="G422" s="11"/>
    </row>
    <row r="423" ht="15.75" customHeight="1">
      <c r="E423" s="10"/>
      <c r="G423" s="11"/>
    </row>
    <row r="424" ht="15.75" customHeight="1">
      <c r="E424" s="10"/>
      <c r="G424" s="11"/>
    </row>
    <row r="425" ht="15.75" customHeight="1">
      <c r="E425" s="10"/>
      <c r="G425" s="11"/>
    </row>
    <row r="426" ht="15.75" customHeight="1">
      <c r="E426" s="10"/>
      <c r="G426" s="11"/>
    </row>
    <row r="427" ht="15.75" customHeight="1">
      <c r="E427" s="10"/>
      <c r="G427" s="11"/>
    </row>
    <row r="428" ht="15.75" customHeight="1">
      <c r="E428" s="10"/>
      <c r="G428" s="11"/>
    </row>
    <row r="429" ht="15.75" customHeight="1">
      <c r="E429" s="10"/>
      <c r="G429" s="11"/>
    </row>
    <row r="430" ht="15.75" customHeight="1">
      <c r="E430" s="10"/>
      <c r="G430" s="11"/>
    </row>
    <row r="431" ht="15.75" customHeight="1">
      <c r="E431" s="10"/>
      <c r="G431" s="11"/>
    </row>
    <row r="432" ht="15.75" customHeight="1">
      <c r="E432" s="10"/>
      <c r="G432" s="11"/>
    </row>
    <row r="433" ht="15.75" customHeight="1">
      <c r="E433" s="10"/>
      <c r="G433" s="11"/>
    </row>
    <row r="434" ht="15.75" customHeight="1">
      <c r="E434" s="10"/>
      <c r="G434" s="11"/>
    </row>
    <row r="435" ht="15.75" customHeight="1">
      <c r="E435" s="10"/>
      <c r="G435" s="11"/>
    </row>
    <row r="436" ht="15.75" customHeight="1">
      <c r="E436" s="10"/>
      <c r="G436" s="11"/>
    </row>
    <row r="437" ht="15.75" customHeight="1">
      <c r="E437" s="10"/>
      <c r="G437" s="11"/>
    </row>
    <row r="438" ht="15.75" customHeight="1">
      <c r="E438" s="10"/>
      <c r="G438" s="11"/>
    </row>
    <row r="439" ht="15.75" customHeight="1">
      <c r="E439" s="10"/>
      <c r="G439" s="11"/>
    </row>
    <row r="440" ht="15.75" customHeight="1">
      <c r="E440" s="10"/>
      <c r="G440" s="11"/>
    </row>
    <row r="441" ht="15.75" customHeight="1">
      <c r="E441" s="10"/>
      <c r="G441" s="11"/>
    </row>
    <row r="442" ht="15.75" customHeight="1">
      <c r="E442" s="10"/>
      <c r="G442" s="11"/>
    </row>
    <row r="443" ht="15.75" customHeight="1">
      <c r="E443" s="10"/>
      <c r="G443" s="11"/>
    </row>
    <row r="444" ht="15.75" customHeight="1">
      <c r="E444" s="10"/>
      <c r="G444" s="11"/>
    </row>
    <row r="445" ht="15.75" customHeight="1">
      <c r="E445" s="10"/>
      <c r="G445" s="11"/>
    </row>
    <row r="446" ht="15.75" customHeight="1">
      <c r="E446" s="10"/>
      <c r="G446" s="11"/>
    </row>
    <row r="447" ht="15.75" customHeight="1">
      <c r="E447" s="10"/>
      <c r="G447" s="11"/>
    </row>
    <row r="448" ht="15.75" customHeight="1">
      <c r="E448" s="10"/>
      <c r="G448" s="11"/>
    </row>
    <row r="449" ht="15.75" customHeight="1">
      <c r="E449" s="10"/>
      <c r="G449" s="11"/>
    </row>
    <row r="450" ht="15.75" customHeight="1">
      <c r="E450" s="10"/>
      <c r="G450" s="11"/>
    </row>
    <row r="451" ht="15.75" customHeight="1">
      <c r="E451" s="10"/>
      <c r="G451" s="11"/>
    </row>
    <row r="452" ht="15.75" customHeight="1">
      <c r="E452" s="10"/>
      <c r="G452" s="11"/>
    </row>
    <row r="453" ht="15.75" customHeight="1">
      <c r="E453" s="10"/>
      <c r="G453" s="11"/>
    </row>
    <row r="454" ht="15.75" customHeight="1">
      <c r="E454" s="10"/>
      <c r="G454" s="11"/>
    </row>
    <row r="455" ht="15.75" customHeight="1">
      <c r="E455" s="10"/>
      <c r="G455" s="11"/>
    </row>
    <row r="456" ht="15.75" customHeight="1">
      <c r="E456" s="10"/>
      <c r="G456" s="11"/>
    </row>
    <row r="457" ht="15.75" customHeight="1">
      <c r="E457" s="10"/>
      <c r="G457" s="11"/>
    </row>
    <row r="458" ht="15.75" customHeight="1">
      <c r="E458" s="10"/>
      <c r="G458" s="11"/>
    </row>
    <row r="459" ht="15.75" customHeight="1">
      <c r="E459" s="10"/>
      <c r="G459" s="11"/>
    </row>
    <row r="460" ht="15.75" customHeight="1">
      <c r="E460" s="10"/>
      <c r="G460" s="11"/>
    </row>
    <row r="461" ht="15.75" customHeight="1">
      <c r="E461" s="10"/>
      <c r="G461" s="11"/>
    </row>
    <row r="462" ht="15.75" customHeight="1">
      <c r="E462" s="10"/>
      <c r="G462" s="11"/>
    </row>
    <row r="463" ht="15.75" customHeight="1">
      <c r="E463" s="10"/>
      <c r="G463" s="11"/>
    </row>
    <row r="464" ht="15.75" customHeight="1">
      <c r="E464" s="10"/>
      <c r="G464" s="11"/>
    </row>
    <row r="465" ht="15.75" customHeight="1">
      <c r="E465" s="10"/>
      <c r="G465" s="11"/>
    </row>
    <row r="466" ht="15.75" customHeight="1">
      <c r="E466" s="10"/>
      <c r="G466" s="11"/>
    </row>
    <row r="467" ht="15.75" customHeight="1">
      <c r="E467" s="10"/>
      <c r="G467" s="11"/>
    </row>
    <row r="468" ht="15.75" customHeight="1">
      <c r="E468" s="10"/>
      <c r="G468" s="11"/>
    </row>
    <row r="469" ht="15.75" customHeight="1">
      <c r="E469" s="10"/>
      <c r="G469" s="11"/>
    </row>
    <row r="470" ht="15.75" customHeight="1">
      <c r="E470" s="10"/>
      <c r="G470" s="11"/>
    </row>
    <row r="471" ht="15.75" customHeight="1">
      <c r="E471" s="10"/>
      <c r="G471" s="11"/>
    </row>
    <row r="472" ht="15.75" customHeight="1">
      <c r="E472" s="10"/>
      <c r="G472" s="11"/>
    </row>
    <row r="473" ht="15.75" customHeight="1">
      <c r="E473" s="10"/>
      <c r="G473" s="11"/>
    </row>
    <row r="474" ht="15.75" customHeight="1">
      <c r="E474" s="10"/>
      <c r="G474" s="11"/>
    </row>
    <row r="475" ht="15.75" customHeight="1">
      <c r="E475" s="10"/>
      <c r="G475" s="11"/>
    </row>
    <row r="476" ht="15.75" customHeight="1">
      <c r="E476" s="10"/>
      <c r="G476" s="11"/>
    </row>
    <row r="477" ht="15.75" customHeight="1">
      <c r="E477" s="10"/>
      <c r="G477" s="11"/>
    </row>
    <row r="478" ht="15.75" customHeight="1">
      <c r="E478" s="10"/>
      <c r="G478" s="11"/>
    </row>
    <row r="479" ht="15.75" customHeight="1">
      <c r="E479" s="10"/>
      <c r="G479" s="11"/>
    </row>
    <row r="480" ht="15.75" customHeight="1">
      <c r="E480" s="10"/>
      <c r="G480" s="11"/>
    </row>
    <row r="481" ht="15.75" customHeight="1">
      <c r="E481" s="10"/>
      <c r="G481" s="11"/>
    </row>
    <row r="482" ht="15.75" customHeight="1">
      <c r="E482" s="10"/>
      <c r="G482" s="11"/>
    </row>
    <row r="483" ht="15.75" customHeight="1">
      <c r="E483" s="10"/>
      <c r="G483" s="11"/>
    </row>
    <row r="484" ht="15.75" customHeight="1">
      <c r="E484" s="10"/>
      <c r="G484" s="11"/>
    </row>
    <row r="485" ht="15.75" customHeight="1">
      <c r="E485" s="10"/>
      <c r="G485" s="11"/>
    </row>
    <row r="486" ht="15.75" customHeight="1">
      <c r="E486" s="10"/>
      <c r="G486" s="11"/>
    </row>
    <row r="487" ht="15.75" customHeight="1">
      <c r="E487" s="10"/>
      <c r="G487" s="11"/>
    </row>
    <row r="488" ht="15.75" customHeight="1">
      <c r="E488" s="10"/>
      <c r="G488" s="11"/>
    </row>
    <row r="489" ht="15.75" customHeight="1">
      <c r="E489" s="10"/>
      <c r="G489" s="11"/>
    </row>
    <row r="490" ht="15.75" customHeight="1">
      <c r="E490" s="10"/>
      <c r="G490" s="11"/>
    </row>
    <row r="491" ht="15.75" customHeight="1">
      <c r="E491" s="10"/>
      <c r="G491" s="11"/>
    </row>
    <row r="492" ht="15.75" customHeight="1">
      <c r="E492" s="10"/>
      <c r="G492" s="11"/>
    </row>
    <row r="493" ht="15.75" customHeight="1">
      <c r="E493" s="10"/>
      <c r="G493" s="11"/>
    </row>
    <row r="494" ht="15.75" customHeight="1">
      <c r="E494" s="10"/>
      <c r="G494" s="11"/>
    </row>
    <row r="495" ht="15.75" customHeight="1">
      <c r="E495" s="10"/>
      <c r="G495" s="11"/>
    </row>
    <row r="496" ht="15.75" customHeight="1">
      <c r="E496" s="10"/>
      <c r="G496" s="11"/>
    </row>
    <row r="497" ht="15.75" customHeight="1">
      <c r="E497" s="10"/>
      <c r="G497" s="11"/>
    </row>
    <row r="498" ht="15.75" customHeight="1">
      <c r="E498" s="10"/>
      <c r="G498" s="11"/>
    </row>
    <row r="499" ht="15.75" customHeight="1">
      <c r="E499" s="10"/>
      <c r="G499" s="11"/>
    </row>
    <row r="500" ht="15.75" customHeight="1">
      <c r="E500" s="10"/>
      <c r="G500" s="11"/>
    </row>
    <row r="501" ht="15.75" customHeight="1">
      <c r="E501" s="10"/>
      <c r="G501" s="11"/>
    </row>
    <row r="502" ht="15.75" customHeight="1">
      <c r="E502" s="10"/>
      <c r="G502" s="11"/>
    </row>
    <row r="503" ht="15.75" customHeight="1">
      <c r="E503" s="10"/>
      <c r="G503" s="11"/>
    </row>
    <row r="504" ht="15.75" customHeight="1">
      <c r="E504" s="10"/>
      <c r="G504" s="11"/>
    </row>
    <row r="505" ht="15.75" customHeight="1">
      <c r="E505" s="10"/>
      <c r="G505" s="11"/>
    </row>
    <row r="506" ht="15.75" customHeight="1">
      <c r="E506" s="10"/>
      <c r="G506" s="11"/>
    </row>
    <row r="507" ht="15.75" customHeight="1">
      <c r="E507" s="10"/>
      <c r="G507" s="11"/>
    </row>
    <row r="508" ht="15.75" customHeight="1">
      <c r="E508" s="10"/>
      <c r="G508" s="11"/>
    </row>
    <row r="509" ht="15.75" customHeight="1">
      <c r="E509" s="10"/>
      <c r="G509" s="11"/>
    </row>
    <row r="510" ht="15.75" customHeight="1">
      <c r="E510" s="10"/>
      <c r="G510" s="11"/>
    </row>
    <row r="511" ht="15.75" customHeight="1">
      <c r="E511" s="10"/>
      <c r="G511" s="11"/>
    </row>
    <row r="512" ht="15.75" customHeight="1">
      <c r="E512" s="10"/>
      <c r="G512" s="11"/>
    </row>
    <row r="513" ht="15.75" customHeight="1">
      <c r="E513" s="10"/>
      <c r="G513" s="11"/>
    </row>
    <row r="514" ht="15.75" customHeight="1">
      <c r="E514" s="10"/>
      <c r="G514" s="11"/>
    </row>
    <row r="515" ht="15.75" customHeight="1">
      <c r="E515" s="10"/>
      <c r="G515" s="11"/>
    </row>
    <row r="516" ht="15.75" customHeight="1">
      <c r="E516" s="10"/>
      <c r="G516" s="11"/>
    </row>
    <row r="517" ht="15.75" customHeight="1">
      <c r="E517" s="10"/>
      <c r="G517" s="11"/>
    </row>
    <row r="518" ht="15.75" customHeight="1">
      <c r="E518" s="10"/>
      <c r="G518" s="11"/>
    </row>
    <row r="519" ht="15.75" customHeight="1">
      <c r="E519" s="10"/>
      <c r="G519" s="11"/>
    </row>
    <row r="520" ht="15.75" customHeight="1">
      <c r="E520" s="10"/>
      <c r="G520" s="11"/>
    </row>
    <row r="521" ht="15.75" customHeight="1">
      <c r="E521" s="10"/>
      <c r="G521" s="11"/>
    </row>
    <row r="522" ht="15.75" customHeight="1">
      <c r="E522" s="10"/>
      <c r="G522" s="11"/>
    </row>
    <row r="523" ht="15.75" customHeight="1">
      <c r="E523" s="10"/>
      <c r="G523" s="11"/>
    </row>
    <row r="524" ht="15.75" customHeight="1">
      <c r="E524" s="10"/>
      <c r="G524" s="11"/>
    </row>
    <row r="525" ht="15.75" customHeight="1">
      <c r="E525" s="10"/>
      <c r="G525" s="11"/>
    </row>
    <row r="526" ht="15.75" customHeight="1">
      <c r="E526" s="10"/>
      <c r="G526" s="11"/>
    </row>
    <row r="527" ht="15.75" customHeight="1">
      <c r="E527" s="10"/>
      <c r="G527" s="11"/>
    </row>
    <row r="528" ht="15.75" customHeight="1">
      <c r="E528" s="10"/>
      <c r="G528" s="11"/>
    </row>
    <row r="529" ht="15.75" customHeight="1">
      <c r="E529" s="10"/>
      <c r="G529" s="11"/>
    </row>
    <row r="530" ht="15.75" customHeight="1">
      <c r="E530" s="10"/>
      <c r="G530" s="11"/>
    </row>
    <row r="531" ht="15.75" customHeight="1">
      <c r="E531" s="10"/>
      <c r="G531" s="11"/>
    </row>
    <row r="532" ht="15.75" customHeight="1">
      <c r="E532" s="10"/>
      <c r="G532" s="11"/>
    </row>
    <row r="533" ht="15.75" customHeight="1">
      <c r="E533" s="10"/>
      <c r="G533" s="11"/>
    </row>
    <row r="534" ht="15.75" customHeight="1">
      <c r="E534" s="10"/>
      <c r="G534" s="11"/>
    </row>
    <row r="535" ht="15.75" customHeight="1">
      <c r="E535" s="10"/>
      <c r="G535" s="11"/>
    </row>
    <row r="536" ht="15.75" customHeight="1">
      <c r="E536" s="10"/>
      <c r="G536" s="11"/>
    </row>
    <row r="537" ht="15.75" customHeight="1">
      <c r="E537" s="10"/>
      <c r="G537" s="11"/>
    </row>
    <row r="538" ht="15.75" customHeight="1">
      <c r="E538" s="10"/>
      <c r="G538" s="11"/>
    </row>
    <row r="539" ht="15.75" customHeight="1">
      <c r="E539" s="10"/>
      <c r="G539" s="11"/>
    </row>
    <row r="540" ht="15.75" customHeight="1">
      <c r="E540" s="10"/>
      <c r="G540" s="11"/>
    </row>
    <row r="541" ht="15.75" customHeight="1">
      <c r="E541" s="10"/>
      <c r="G541" s="11"/>
    </row>
    <row r="542" ht="15.75" customHeight="1">
      <c r="E542" s="10"/>
      <c r="G542" s="11"/>
    </row>
    <row r="543" ht="15.75" customHeight="1">
      <c r="E543" s="10"/>
      <c r="G543" s="11"/>
    </row>
    <row r="544" ht="15.75" customHeight="1">
      <c r="E544" s="10"/>
      <c r="G544" s="11"/>
    </row>
    <row r="545" ht="15.75" customHeight="1">
      <c r="E545" s="10"/>
      <c r="G545" s="11"/>
    </row>
    <row r="546" ht="15.75" customHeight="1">
      <c r="E546" s="10"/>
      <c r="G546" s="11"/>
    </row>
    <row r="547" ht="15.75" customHeight="1">
      <c r="E547" s="10"/>
      <c r="G547" s="11"/>
    </row>
    <row r="548" ht="15.75" customHeight="1">
      <c r="E548" s="10"/>
      <c r="G548" s="11"/>
    </row>
    <row r="549" ht="15.75" customHeight="1">
      <c r="E549" s="10"/>
      <c r="G549" s="11"/>
    </row>
    <row r="550" ht="15.75" customHeight="1">
      <c r="E550" s="10"/>
      <c r="G550" s="11"/>
    </row>
    <row r="551" ht="15.75" customHeight="1">
      <c r="E551" s="10"/>
      <c r="G551" s="11"/>
    </row>
    <row r="552" ht="15.75" customHeight="1">
      <c r="E552" s="10"/>
      <c r="G552" s="11"/>
    </row>
    <row r="553" ht="15.75" customHeight="1">
      <c r="E553" s="10"/>
      <c r="G553" s="11"/>
    </row>
    <row r="554" ht="15.75" customHeight="1">
      <c r="E554" s="10"/>
      <c r="G554" s="11"/>
    </row>
    <row r="555" ht="15.75" customHeight="1">
      <c r="E555" s="10"/>
      <c r="G555" s="11"/>
    </row>
    <row r="556" ht="15.75" customHeight="1">
      <c r="E556" s="10"/>
      <c r="G556" s="11"/>
    </row>
    <row r="557" ht="15.75" customHeight="1">
      <c r="E557" s="10"/>
      <c r="G557" s="11"/>
    </row>
    <row r="558" ht="15.75" customHeight="1">
      <c r="E558" s="10"/>
      <c r="G558" s="11"/>
    </row>
    <row r="559" ht="15.75" customHeight="1">
      <c r="E559" s="10"/>
      <c r="G559" s="11"/>
    </row>
    <row r="560" ht="15.75" customHeight="1">
      <c r="E560" s="10"/>
      <c r="G560" s="11"/>
    </row>
    <row r="561" ht="15.75" customHeight="1">
      <c r="E561" s="10"/>
      <c r="G561" s="11"/>
    </row>
    <row r="562" ht="15.75" customHeight="1">
      <c r="E562" s="10"/>
      <c r="G562" s="11"/>
    </row>
    <row r="563" ht="15.75" customHeight="1">
      <c r="E563" s="10"/>
      <c r="G563" s="11"/>
    </row>
    <row r="564" ht="15.75" customHeight="1">
      <c r="E564" s="10"/>
      <c r="G564" s="11"/>
    </row>
    <row r="565" ht="15.75" customHeight="1">
      <c r="E565" s="10"/>
      <c r="G565" s="11"/>
    </row>
    <row r="566" ht="15.75" customHeight="1">
      <c r="E566" s="10"/>
      <c r="G566" s="11"/>
    </row>
    <row r="567" ht="15.75" customHeight="1">
      <c r="E567" s="10"/>
      <c r="G567" s="11"/>
    </row>
    <row r="568" ht="15.75" customHeight="1">
      <c r="E568" s="10"/>
      <c r="G568" s="11"/>
    </row>
    <row r="569" ht="15.75" customHeight="1">
      <c r="E569" s="10"/>
      <c r="G569" s="11"/>
    </row>
    <row r="570" ht="15.75" customHeight="1">
      <c r="E570" s="10"/>
      <c r="G570" s="11"/>
    </row>
    <row r="571" ht="15.75" customHeight="1">
      <c r="E571" s="10"/>
      <c r="G571" s="11"/>
    </row>
    <row r="572" ht="15.75" customHeight="1">
      <c r="E572" s="10"/>
      <c r="G572" s="11"/>
    </row>
    <row r="573" ht="15.75" customHeight="1">
      <c r="E573" s="10"/>
      <c r="G573" s="11"/>
    </row>
    <row r="574" ht="15.75" customHeight="1">
      <c r="E574" s="10"/>
      <c r="G574" s="11"/>
    </row>
    <row r="575" ht="15.75" customHeight="1">
      <c r="E575" s="10"/>
      <c r="G575" s="11"/>
    </row>
    <row r="576" ht="15.75" customHeight="1">
      <c r="E576" s="10"/>
      <c r="G576" s="11"/>
    </row>
    <row r="577" ht="15.75" customHeight="1">
      <c r="E577" s="10"/>
      <c r="G577" s="11"/>
    </row>
    <row r="578" ht="15.75" customHeight="1">
      <c r="E578" s="10"/>
      <c r="G578" s="11"/>
    </row>
    <row r="579" ht="15.75" customHeight="1">
      <c r="E579" s="10"/>
      <c r="G579" s="11"/>
    </row>
    <row r="580" ht="15.75" customHeight="1">
      <c r="E580" s="10"/>
      <c r="G580" s="11"/>
    </row>
    <row r="581" ht="15.75" customHeight="1">
      <c r="E581" s="10"/>
      <c r="G581" s="11"/>
    </row>
    <row r="582" ht="15.75" customHeight="1">
      <c r="E582" s="10"/>
      <c r="G582" s="11"/>
    </row>
    <row r="583" ht="15.75" customHeight="1">
      <c r="E583" s="10"/>
      <c r="G583" s="11"/>
    </row>
    <row r="584" ht="15.75" customHeight="1">
      <c r="E584" s="10"/>
      <c r="G584" s="11"/>
    </row>
    <row r="585" ht="15.75" customHeight="1">
      <c r="E585" s="10"/>
      <c r="G585" s="11"/>
    </row>
    <row r="586" ht="15.75" customHeight="1">
      <c r="E586" s="10"/>
      <c r="G586" s="11"/>
    </row>
    <row r="587" ht="15.75" customHeight="1">
      <c r="E587" s="10"/>
      <c r="G587" s="11"/>
    </row>
    <row r="588" ht="15.75" customHeight="1">
      <c r="E588" s="10"/>
      <c r="G588" s="11"/>
    </row>
    <row r="589" ht="15.75" customHeight="1">
      <c r="E589" s="10"/>
      <c r="G589" s="11"/>
    </row>
    <row r="590" ht="15.75" customHeight="1">
      <c r="E590" s="10"/>
      <c r="G590" s="11"/>
    </row>
    <row r="591" ht="15.75" customHeight="1">
      <c r="E591" s="10"/>
      <c r="G591" s="11"/>
    </row>
    <row r="592" ht="15.75" customHeight="1">
      <c r="E592" s="10"/>
      <c r="G592" s="11"/>
    </row>
    <row r="593" ht="15.75" customHeight="1">
      <c r="E593" s="10"/>
      <c r="G593" s="11"/>
    </row>
    <row r="594" ht="15.75" customHeight="1">
      <c r="E594" s="10"/>
      <c r="G594" s="11"/>
    </row>
    <row r="595" ht="15.75" customHeight="1">
      <c r="E595" s="10"/>
      <c r="G595" s="11"/>
    </row>
    <row r="596" ht="15.75" customHeight="1">
      <c r="E596" s="10"/>
      <c r="G596" s="11"/>
    </row>
    <row r="597" ht="15.75" customHeight="1">
      <c r="E597" s="10"/>
      <c r="G597" s="11"/>
    </row>
    <row r="598" ht="15.75" customHeight="1">
      <c r="E598" s="10"/>
      <c r="G598" s="11"/>
    </row>
    <row r="599" ht="15.75" customHeight="1">
      <c r="E599" s="10"/>
      <c r="G599" s="11"/>
    </row>
    <row r="600" ht="15.75" customHeight="1">
      <c r="E600" s="10"/>
      <c r="G600" s="11"/>
    </row>
    <row r="601" ht="15.75" customHeight="1">
      <c r="E601" s="10"/>
      <c r="G601" s="11"/>
    </row>
    <row r="602" ht="15.75" customHeight="1">
      <c r="E602" s="10"/>
      <c r="G602" s="11"/>
    </row>
    <row r="603" ht="15.75" customHeight="1">
      <c r="E603" s="10"/>
      <c r="G603" s="11"/>
    </row>
    <row r="604" ht="15.75" customHeight="1">
      <c r="E604" s="10"/>
      <c r="G604" s="11"/>
    </row>
    <row r="605" ht="15.75" customHeight="1">
      <c r="E605" s="10"/>
      <c r="G605" s="11"/>
    </row>
    <row r="606" ht="15.75" customHeight="1">
      <c r="E606" s="10"/>
      <c r="G606" s="11"/>
    </row>
    <row r="607" ht="15.75" customHeight="1">
      <c r="E607" s="10"/>
      <c r="G607" s="11"/>
    </row>
    <row r="608" ht="15.75" customHeight="1">
      <c r="E608" s="10"/>
      <c r="G608" s="11"/>
    </row>
    <row r="609" ht="15.75" customHeight="1">
      <c r="E609" s="10"/>
      <c r="G609" s="11"/>
    </row>
    <row r="610" ht="15.75" customHeight="1">
      <c r="E610" s="10"/>
      <c r="G610" s="11"/>
    </row>
    <row r="611" ht="15.75" customHeight="1">
      <c r="E611" s="10"/>
      <c r="G611" s="11"/>
    </row>
    <row r="612" ht="15.75" customHeight="1">
      <c r="E612" s="10"/>
      <c r="G612" s="11"/>
    </row>
    <row r="613" ht="15.75" customHeight="1">
      <c r="E613" s="10"/>
      <c r="G613" s="11"/>
    </row>
    <row r="614" ht="15.75" customHeight="1">
      <c r="E614" s="10"/>
      <c r="G614" s="11"/>
    </row>
    <row r="615" ht="15.75" customHeight="1">
      <c r="E615" s="10"/>
      <c r="G615" s="11"/>
    </row>
    <row r="616" ht="15.75" customHeight="1">
      <c r="E616" s="10"/>
      <c r="G616" s="11"/>
    </row>
    <row r="617" ht="15.75" customHeight="1">
      <c r="E617" s="10"/>
      <c r="G617" s="11"/>
    </row>
    <row r="618" ht="15.75" customHeight="1">
      <c r="E618" s="10"/>
      <c r="G618" s="11"/>
    </row>
    <row r="619" ht="15.75" customHeight="1">
      <c r="E619" s="10"/>
      <c r="G619" s="11"/>
    </row>
    <row r="620" ht="15.75" customHeight="1">
      <c r="E620" s="10"/>
      <c r="G620" s="11"/>
    </row>
    <row r="621" ht="15.75" customHeight="1">
      <c r="E621" s="10"/>
      <c r="G621" s="11"/>
    </row>
    <row r="622" ht="15.75" customHeight="1">
      <c r="E622" s="10"/>
      <c r="G622" s="11"/>
    </row>
    <row r="623" ht="15.75" customHeight="1">
      <c r="E623" s="10"/>
      <c r="G623" s="11"/>
    </row>
    <row r="624" ht="15.75" customHeight="1">
      <c r="E624" s="10"/>
      <c r="G624" s="11"/>
    </row>
    <row r="625" ht="15.75" customHeight="1">
      <c r="E625" s="10"/>
      <c r="G625" s="11"/>
    </row>
    <row r="626" ht="15.75" customHeight="1">
      <c r="E626" s="10"/>
      <c r="G626" s="11"/>
    </row>
    <row r="627" ht="15.75" customHeight="1">
      <c r="E627" s="10"/>
      <c r="G627" s="11"/>
    </row>
    <row r="628" ht="15.75" customHeight="1">
      <c r="E628" s="10"/>
      <c r="G628" s="11"/>
    </row>
    <row r="629" ht="15.75" customHeight="1">
      <c r="E629" s="10"/>
      <c r="G629" s="11"/>
    </row>
    <row r="630" ht="15.75" customHeight="1">
      <c r="E630" s="10"/>
      <c r="G630" s="11"/>
    </row>
    <row r="631" ht="15.75" customHeight="1">
      <c r="E631" s="10"/>
      <c r="G631" s="11"/>
    </row>
    <row r="632" ht="15.75" customHeight="1">
      <c r="E632" s="10"/>
      <c r="G632" s="11"/>
    </row>
    <row r="633" ht="15.75" customHeight="1">
      <c r="E633" s="10"/>
      <c r="G633" s="11"/>
    </row>
    <row r="634" ht="15.75" customHeight="1">
      <c r="E634" s="10"/>
      <c r="G634" s="11"/>
    </row>
    <row r="635" ht="15.75" customHeight="1">
      <c r="E635" s="10"/>
      <c r="G635" s="11"/>
    </row>
    <row r="636" ht="15.75" customHeight="1">
      <c r="E636" s="10"/>
      <c r="G636" s="11"/>
    </row>
    <row r="637" ht="15.75" customHeight="1">
      <c r="E637" s="10"/>
      <c r="G637" s="11"/>
    </row>
    <row r="638" ht="15.75" customHeight="1">
      <c r="E638" s="10"/>
      <c r="G638" s="11"/>
    </row>
    <row r="639" ht="15.75" customHeight="1">
      <c r="E639" s="10"/>
      <c r="G639" s="11"/>
    </row>
    <row r="640" ht="15.75" customHeight="1">
      <c r="E640" s="10"/>
      <c r="G640" s="11"/>
    </row>
    <row r="641" ht="15.75" customHeight="1">
      <c r="E641" s="10"/>
      <c r="G641" s="11"/>
    </row>
    <row r="642" ht="15.75" customHeight="1">
      <c r="E642" s="10"/>
      <c r="G642" s="11"/>
    </row>
    <row r="643" ht="15.75" customHeight="1">
      <c r="E643" s="10"/>
      <c r="G643" s="11"/>
    </row>
    <row r="644" ht="15.75" customHeight="1">
      <c r="E644" s="10"/>
      <c r="G644" s="11"/>
    </row>
    <row r="645" ht="15.75" customHeight="1">
      <c r="E645" s="10"/>
      <c r="G645" s="11"/>
    </row>
    <row r="646" ht="15.75" customHeight="1">
      <c r="E646" s="10"/>
      <c r="G646" s="11"/>
    </row>
    <row r="647" ht="15.75" customHeight="1">
      <c r="E647" s="10"/>
      <c r="G647" s="11"/>
    </row>
    <row r="648" ht="15.75" customHeight="1">
      <c r="E648" s="10"/>
      <c r="G648" s="11"/>
    </row>
    <row r="649" ht="15.75" customHeight="1">
      <c r="E649" s="10"/>
      <c r="G649" s="11"/>
    </row>
    <row r="650" ht="15.75" customHeight="1">
      <c r="E650" s="10"/>
      <c r="G650" s="11"/>
    </row>
    <row r="651" ht="15.75" customHeight="1">
      <c r="E651" s="10"/>
      <c r="G651" s="11"/>
    </row>
    <row r="652" ht="15.75" customHeight="1">
      <c r="E652" s="10"/>
      <c r="G652" s="11"/>
    </row>
    <row r="653" ht="15.75" customHeight="1">
      <c r="E653" s="10"/>
      <c r="G653" s="11"/>
    </row>
    <row r="654" ht="15.75" customHeight="1">
      <c r="E654" s="10"/>
      <c r="G654" s="11"/>
    </row>
    <row r="655" ht="15.75" customHeight="1">
      <c r="E655" s="10"/>
      <c r="G655" s="11"/>
    </row>
    <row r="656" ht="15.75" customHeight="1">
      <c r="E656" s="10"/>
      <c r="G656" s="11"/>
    </row>
    <row r="657" ht="15.75" customHeight="1">
      <c r="E657" s="10"/>
      <c r="G657" s="11"/>
    </row>
    <row r="658" ht="15.75" customHeight="1">
      <c r="E658" s="10"/>
      <c r="G658" s="11"/>
    </row>
    <row r="659" ht="15.75" customHeight="1">
      <c r="E659" s="10"/>
      <c r="G659" s="11"/>
    </row>
    <row r="660" ht="15.75" customHeight="1">
      <c r="E660" s="10"/>
      <c r="G660" s="11"/>
    </row>
    <row r="661" ht="15.75" customHeight="1">
      <c r="E661" s="10"/>
      <c r="G661" s="11"/>
    </row>
    <row r="662" ht="15.75" customHeight="1">
      <c r="E662" s="10"/>
      <c r="G662" s="11"/>
    </row>
    <row r="663" ht="15.75" customHeight="1">
      <c r="E663" s="10"/>
      <c r="G663" s="11"/>
    </row>
    <row r="664" ht="15.75" customHeight="1">
      <c r="E664" s="10"/>
      <c r="G664" s="11"/>
    </row>
    <row r="665" ht="15.75" customHeight="1">
      <c r="E665" s="10"/>
      <c r="G665" s="11"/>
    </row>
    <row r="666" ht="15.75" customHeight="1">
      <c r="E666" s="10"/>
      <c r="G666" s="11"/>
    </row>
    <row r="667" ht="15.75" customHeight="1">
      <c r="E667" s="10"/>
      <c r="G667" s="11"/>
    </row>
    <row r="668" ht="15.75" customHeight="1">
      <c r="E668" s="10"/>
      <c r="G668" s="11"/>
    </row>
    <row r="669" ht="15.75" customHeight="1">
      <c r="E669" s="10"/>
      <c r="G669" s="11"/>
    </row>
    <row r="670" ht="15.75" customHeight="1">
      <c r="E670" s="10"/>
      <c r="G670" s="11"/>
    </row>
    <row r="671" ht="15.75" customHeight="1">
      <c r="E671" s="10"/>
      <c r="G671" s="11"/>
    </row>
    <row r="672" ht="15.75" customHeight="1">
      <c r="E672" s="10"/>
      <c r="G672" s="11"/>
    </row>
    <row r="673" ht="15.75" customHeight="1">
      <c r="E673" s="10"/>
      <c r="G673" s="11"/>
    </row>
    <row r="674" ht="15.75" customHeight="1">
      <c r="E674" s="10"/>
      <c r="G674" s="11"/>
    </row>
    <row r="675" ht="15.75" customHeight="1">
      <c r="E675" s="10"/>
      <c r="G675" s="11"/>
    </row>
    <row r="676" ht="15.75" customHeight="1">
      <c r="E676" s="10"/>
      <c r="G676" s="11"/>
    </row>
    <row r="677" ht="15.75" customHeight="1">
      <c r="E677" s="10"/>
      <c r="G677" s="11"/>
    </row>
    <row r="678" ht="15.75" customHeight="1">
      <c r="E678" s="10"/>
      <c r="G678" s="11"/>
    </row>
    <row r="679" ht="15.75" customHeight="1">
      <c r="E679" s="10"/>
      <c r="G679" s="11"/>
    </row>
    <row r="680" ht="15.75" customHeight="1">
      <c r="E680" s="10"/>
      <c r="G680" s="11"/>
    </row>
    <row r="681" ht="15.75" customHeight="1">
      <c r="E681" s="10"/>
      <c r="G681" s="11"/>
    </row>
    <row r="682" ht="15.75" customHeight="1">
      <c r="E682" s="10"/>
      <c r="G682" s="11"/>
    </row>
    <row r="683" ht="15.75" customHeight="1">
      <c r="E683" s="10"/>
      <c r="G683" s="11"/>
    </row>
    <row r="684" ht="15.75" customHeight="1">
      <c r="E684" s="10"/>
      <c r="G684" s="11"/>
    </row>
    <row r="685" ht="15.75" customHeight="1">
      <c r="E685" s="10"/>
      <c r="G685" s="11"/>
    </row>
    <row r="686" ht="15.75" customHeight="1">
      <c r="E686" s="10"/>
      <c r="G686" s="11"/>
    </row>
    <row r="687" ht="15.75" customHeight="1">
      <c r="E687" s="10"/>
      <c r="G687" s="11"/>
    </row>
    <row r="688" ht="15.75" customHeight="1">
      <c r="E688" s="10"/>
      <c r="G688" s="11"/>
    </row>
    <row r="689" ht="15.75" customHeight="1">
      <c r="E689" s="10"/>
      <c r="G689" s="11"/>
    </row>
    <row r="690" ht="15.75" customHeight="1">
      <c r="E690" s="10"/>
      <c r="G690" s="11"/>
    </row>
    <row r="691" ht="15.75" customHeight="1">
      <c r="E691" s="10"/>
      <c r="G691" s="11"/>
    </row>
    <row r="692" ht="15.75" customHeight="1">
      <c r="E692" s="10"/>
      <c r="G692" s="11"/>
    </row>
    <row r="693" ht="15.75" customHeight="1">
      <c r="E693" s="10"/>
      <c r="G693" s="11"/>
    </row>
    <row r="694" ht="15.75" customHeight="1">
      <c r="E694" s="10"/>
      <c r="G694" s="11"/>
    </row>
    <row r="695" ht="15.75" customHeight="1">
      <c r="E695" s="10"/>
      <c r="G695" s="11"/>
    </row>
    <row r="696" ht="15.75" customHeight="1">
      <c r="E696" s="10"/>
      <c r="G696" s="11"/>
    </row>
    <row r="697" ht="15.75" customHeight="1">
      <c r="E697" s="10"/>
      <c r="G697" s="11"/>
    </row>
    <row r="698" ht="15.75" customHeight="1">
      <c r="E698" s="10"/>
      <c r="G698" s="11"/>
    </row>
    <row r="699" ht="15.75" customHeight="1">
      <c r="E699" s="10"/>
      <c r="G699" s="11"/>
    </row>
    <row r="700" ht="15.75" customHeight="1">
      <c r="E700" s="10"/>
      <c r="G700" s="11"/>
    </row>
    <row r="701" ht="15.75" customHeight="1">
      <c r="E701" s="10"/>
      <c r="G701" s="11"/>
    </row>
    <row r="702" ht="15.75" customHeight="1">
      <c r="E702" s="10"/>
      <c r="G702" s="11"/>
    </row>
    <row r="703" ht="15.75" customHeight="1">
      <c r="E703" s="10"/>
      <c r="G703" s="11"/>
    </row>
    <row r="704" ht="15.75" customHeight="1">
      <c r="E704" s="10"/>
      <c r="G704" s="11"/>
    </row>
    <row r="705" ht="15.75" customHeight="1">
      <c r="E705" s="10"/>
      <c r="G705" s="11"/>
    </row>
    <row r="706" ht="15.75" customHeight="1">
      <c r="E706" s="10"/>
      <c r="G706" s="11"/>
    </row>
    <row r="707" ht="15.75" customHeight="1">
      <c r="E707" s="10"/>
      <c r="G707" s="11"/>
    </row>
    <row r="708" ht="15.75" customHeight="1">
      <c r="E708" s="10"/>
      <c r="G708" s="11"/>
    </row>
    <row r="709" ht="15.75" customHeight="1">
      <c r="E709" s="10"/>
      <c r="G709" s="11"/>
    </row>
    <row r="710" ht="15.75" customHeight="1">
      <c r="E710" s="10"/>
      <c r="G710" s="11"/>
    </row>
    <row r="711" ht="15.75" customHeight="1">
      <c r="E711" s="10"/>
      <c r="G711" s="11"/>
    </row>
    <row r="712" ht="15.75" customHeight="1">
      <c r="E712" s="10"/>
      <c r="G712" s="11"/>
    </row>
    <row r="713" ht="15.75" customHeight="1">
      <c r="E713" s="10"/>
      <c r="G713" s="11"/>
    </row>
    <row r="714" ht="15.75" customHeight="1">
      <c r="E714" s="10"/>
      <c r="G714" s="11"/>
    </row>
    <row r="715" ht="15.75" customHeight="1">
      <c r="E715" s="10"/>
      <c r="G715" s="11"/>
    </row>
    <row r="716" ht="15.75" customHeight="1">
      <c r="E716" s="10"/>
      <c r="G716" s="11"/>
    </row>
    <row r="717" ht="15.75" customHeight="1">
      <c r="E717" s="10"/>
      <c r="G717" s="11"/>
    </row>
    <row r="718" ht="15.75" customHeight="1">
      <c r="E718" s="10"/>
      <c r="G718" s="11"/>
    </row>
    <row r="719" ht="15.75" customHeight="1">
      <c r="E719" s="10"/>
      <c r="G719" s="11"/>
    </row>
    <row r="720" ht="15.75" customHeight="1">
      <c r="E720" s="10"/>
      <c r="G720" s="11"/>
    </row>
    <row r="721" ht="15.75" customHeight="1">
      <c r="E721" s="10"/>
      <c r="G721" s="11"/>
    </row>
    <row r="722" ht="15.75" customHeight="1">
      <c r="E722" s="10"/>
      <c r="G722" s="11"/>
    </row>
    <row r="723" ht="15.75" customHeight="1">
      <c r="E723" s="10"/>
      <c r="G723" s="11"/>
    </row>
    <row r="724" ht="15.75" customHeight="1">
      <c r="E724" s="10"/>
      <c r="G724" s="11"/>
    </row>
    <row r="725" ht="15.75" customHeight="1">
      <c r="E725" s="10"/>
      <c r="G725" s="11"/>
    </row>
    <row r="726" ht="15.75" customHeight="1">
      <c r="E726" s="10"/>
      <c r="G726" s="11"/>
    </row>
    <row r="727" ht="15.75" customHeight="1">
      <c r="E727" s="10"/>
      <c r="G727" s="11"/>
    </row>
    <row r="728" ht="15.75" customHeight="1">
      <c r="E728" s="10"/>
      <c r="G728" s="11"/>
    </row>
    <row r="729" ht="15.75" customHeight="1">
      <c r="E729" s="10"/>
      <c r="G729" s="11"/>
    </row>
    <row r="730" ht="15.75" customHeight="1">
      <c r="E730" s="10"/>
      <c r="G730" s="11"/>
    </row>
    <row r="731" ht="15.75" customHeight="1">
      <c r="E731" s="10"/>
      <c r="G731" s="11"/>
    </row>
    <row r="732" ht="15.75" customHeight="1">
      <c r="E732" s="10"/>
      <c r="G732" s="11"/>
    </row>
    <row r="733" ht="15.75" customHeight="1">
      <c r="E733" s="10"/>
      <c r="G733" s="11"/>
    </row>
    <row r="734" ht="15.75" customHeight="1">
      <c r="E734" s="10"/>
      <c r="G734" s="11"/>
    </row>
    <row r="735" ht="15.75" customHeight="1">
      <c r="E735" s="10"/>
      <c r="G735" s="11"/>
    </row>
    <row r="736" ht="15.75" customHeight="1">
      <c r="E736" s="10"/>
      <c r="G736" s="11"/>
    </row>
    <row r="737" ht="15.75" customHeight="1">
      <c r="E737" s="10"/>
      <c r="G737" s="11"/>
    </row>
    <row r="738" ht="15.75" customHeight="1">
      <c r="E738" s="10"/>
      <c r="G738" s="11"/>
    </row>
    <row r="739" ht="15.75" customHeight="1">
      <c r="E739" s="10"/>
      <c r="G739" s="11"/>
    </row>
    <row r="740" ht="15.75" customHeight="1">
      <c r="E740" s="10"/>
      <c r="G740" s="11"/>
    </row>
    <row r="741" ht="15.75" customHeight="1">
      <c r="E741" s="10"/>
      <c r="G741" s="11"/>
    </row>
    <row r="742" ht="15.75" customHeight="1">
      <c r="E742" s="10"/>
      <c r="G742" s="11"/>
    </row>
    <row r="743" ht="15.75" customHeight="1">
      <c r="E743" s="10"/>
      <c r="G743" s="11"/>
    </row>
    <row r="744" ht="15.75" customHeight="1">
      <c r="E744" s="10"/>
      <c r="G744" s="11"/>
    </row>
    <row r="745" ht="15.75" customHeight="1">
      <c r="E745" s="10"/>
      <c r="G745" s="11"/>
    </row>
    <row r="746" ht="15.75" customHeight="1">
      <c r="E746" s="10"/>
      <c r="G746" s="11"/>
    </row>
    <row r="747" ht="15.75" customHeight="1">
      <c r="E747" s="10"/>
      <c r="G747" s="11"/>
    </row>
    <row r="748" ht="15.75" customHeight="1">
      <c r="E748" s="10"/>
      <c r="G748" s="11"/>
    </row>
    <row r="749" ht="15.75" customHeight="1">
      <c r="E749" s="10"/>
      <c r="G749" s="11"/>
    </row>
    <row r="750" ht="15.75" customHeight="1">
      <c r="E750" s="10"/>
      <c r="G750" s="11"/>
    </row>
    <row r="751" ht="15.75" customHeight="1">
      <c r="E751" s="10"/>
      <c r="G751" s="11"/>
    </row>
    <row r="752" ht="15.75" customHeight="1">
      <c r="E752" s="10"/>
      <c r="G752" s="11"/>
    </row>
    <row r="753" ht="15.75" customHeight="1">
      <c r="E753" s="10"/>
      <c r="G753" s="11"/>
    </row>
    <row r="754" ht="15.75" customHeight="1">
      <c r="E754" s="10"/>
      <c r="G754" s="11"/>
    </row>
    <row r="755" ht="15.75" customHeight="1">
      <c r="E755" s="10"/>
      <c r="G755" s="11"/>
    </row>
    <row r="756" ht="15.75" customHeight="1">
      <c r="E756" s="10"/>
      <c r="G756" s="11"/>
    </row>
    <row r="757" ht="15.75" customHeight="1">
      <c r="E757" s="10"/>
      <c r="G757" s="11"/>
    </row>
    <row r="758" ht="15.75" customHeight="1">
      <c r="E758" s="10"/>
      <c r="G758" s="11"/>
    </row>
    <row r="759" ht="15.75" customHeight="1">
      <c r="E759" s="10"/>
      <c r="G759" s="11"/>
    </row>
    <row r="760" ht="15.75" customHeight="1">
      <c r="E760" s="10"/>
      <c r="G760" s="11"/>
    </row>
    <row r="761" ht="15.75" customHeight="1">
      <c r="E761" s="10"/>
      <c r="G761" s="11"/>
    </row>
    <row r="762" ht="15.75" customHeight="1">
      <c r="E762" s="10"/>
      <c r="G762" s="11"/>
    </row>
    <row r="763" ht="15.75" customHeight="1">
      <c r="E763" s="10"/>
      <c r="G763" s="11"/>
    </row>
    <row r="764" ht="15.75" customHeight="1">
      <c r="E764" s="10"/>
      <c r="G764" s="11"/>
    </row>
    <row r="765" ht="15.75" customHeight="1">
      <c r="E765" s="10"/>
      <c r="G765" s="11"/>
    </row>
    <row r="766" ht="15.75" customHeight="1">
      <c r="E766" s="10"/>
      <c r="G766" s="11"/>
    </row>
    <row r="767" ht="15.75" customHeight="1">
      <c r="E767" s="10"/>
      <c r="G767" s="11"/>
    </row>
    <row r="768" ht="15.75" customHeight="1">
      <c r="E768" s="10"/>
      <c r="G768" s="11"/>
    </row>
    <row r="769" ht="15.75" customHeight="1">
      <c r="E769" s="10"/>
      <c r="G769" s="11"/>
    </row>
    <row r="770" ht="15.75" customHeight="1">
      <c r="E770" s="10"/>
      <c r="G770" s="11"/>
    </row>
    <row r="771" ht="15.75" customHeight="1">
      <c r="E771" s="10"/>
      <c r="G771" s="11"/>
    </row>
    <row r="772" ht="15.75" customHeight="1">
      <c r="E772" s="10"/>
      <c r="G772" s="11"/>
    </row>
    <row r="773" ht="15.75" customHeight="1">
      <c r="E773" s="10"/>
      <c r="G773" s="11"/>
    </row>
    <row r="774" ht="15.75" customHeight="1">
      <c r="E774" s="10"/>
      <c r="G774" s="11"/>
    </row>
    <row r="775" ht="15.75" customHeight="1">
      <c r="E775" s="10"/>
      <c r="G775" s="11"/>
    </row>
    <row r="776" ht="15.75" customHeight="1">
      <c r="E776" s="10"/>
      <c r="G776" s="11"/>
    </row>
    <row r="777" ht="15.75" customHeight="1">
      <c r="E777" s="10"/>
      <c r="G777" s="11"/>
    </row>
    <row r="778" ht="15.75" customHeight="1">
      <c r="E778" s="10"/>
      <c r="G778" s="11"/>
    </row>
    <row r="779" ht="15.75" customHeight="1">
      <c r="E779" s="10"/>
      <c r="G779" s="11"/>
    </row>
    <row r="780" ht="15.75" customHeight="1">
      <c r="E780" s="10"/>
      <c r="G780" s="11"/>
    </row>
    <row r="781" ht="15.75" customHeight="1">
      <c r="E781" s="10"/>
      <c r="G781" s="11"/>
    </row>
    <row r="782" ht="15.75" customHeight="1">
      <c r="E782" s="10"/>
      <c r="G782" s="11"/>
    </row>
    <row r="783" ht="15.75" customHeight="1">
      <c r="E783" s="10"/>
      <c r="G783" s="11"/>
    </row>
    <row r="784" ht="15.75" customHeight="1">
      <c r="E784" s="10"/>
      <c r="G784" s="11"/>
    </row>
    <row r="785" ht="15.75" customHeight="1">
      <c r="E785" s="10"/>
      <c r="G785" s="11"/>
    </row>
    <row r="786" ht="15.75" customHeight="1">
      <c r="E786" s="10"/>
      <c r="G786" s="11"/>
    </row>
    <row r="787" ht="15.75" customHeight="1">
      <c r="E787" s="10"/>
      <c r="G787" s="11"/>
    </row>
    <row r="788" ht="15.75" customHeight="1">
      <c r="E788" s="10"/>
      <c r="G788" s="11"/>
    </row>
    <row r="789" ht="15.75" customHeight="1">
      <c r="E789" s="10"/>
      <c r="G789" s="11"/>
    </row>
    <row r="790" ht="15.75" customHeight="1">
      <c r="E790" s="10"/>
      <c r="G790" s="11"/>
    </row>
    <row r="791" ht="15.75" customHeight="1">
      <c r="E791" s="10"/>
      <c r="G791" s="11"/>
    </row>
    <row r="792" ht="15.75" customHeight="1">
      <c r="E792" s="10"/>
      <c r="G792" s="11"/>
    </row>
    <row r="793" ht="15.75" customHeight="1">
      <c r="E793" s="10"/>
      <c r="G793" s="11"/>
    </row>
    <row r="794" ht="15.75" customHeight="1">
      <c r="E794" s="10"/>
      <c r="G794" s="11"/>
    </row>
    <row r="795" ht="15.75" customHeight="1">
      <c r="E795" s="10"/>
      <c r="G795" s="11"/>
    </row>
    <row r="796" ht="15.75" customHeight="1">
      <c r="E796" s="10"/>
      <c r="G796" s="11"/>
    </row>
    <row r="797" ht="15.75" customHeight="1">
      <c r="E797" s="10"/>
      <c r="G797" s="11"/>
    </row>
    <row r="798" ht="15.75" customHeight="1">
      <c r="E798" s="10"/>
      <c r="G798" s="11"/>
    </row>
    <row r="799" ht="15.75" customHeight="1">
      <c r="E799" s="10"/>
      <c r="G799" s="11"/>
    </row>
    <row r="800" ht="15.75" customHeight="1">
      <c r="E800" s="10"/>
      <c r="G800" s="11"/>
    </row>
    <row r="801" ht="15.75" customHeight="1">
      <c r="E801" s="10"/>
      <c r="G801" s="11"/>
    </row>
    <row r="802" ht="15.75" customHeight="1">
      <c r="E802" s="10"/>
      <c r="G802" s="11"/>
    </row>
    <row r="803" ht="15.75" customHeight="1">
      <c r="E803" s="10"/>
      <c r="G803" s="11"/>
    </row>
    <row r="804" ht="15.75" customHeight="1">
      <c r="E804" s="10"/>
      <c r="G804" s="11"/>
    </row>
    <row r="805" ht="15.75" customHeight="1">
      <c r="E805" s="10"/>
      <c r="G805" s="11"/>
    </row>
    <row r="806" ht="15.75" customHeight="1">
      <c r="E806" s="10"/>
      <c r="G806" s="11"/>
    </row>
    <row r="807" ht="15.75" customHeight="1">
      <c r="E807" s="10"/>
      <c r="G807" s="11"/>
    </row>
    <row r="808" ht="15.75" customHeight="1">
      <c r="E808" s="10"/>
      <c r="G808" s="11"/>
    </row>
    <row r="809" ht="15.75" customHeight="1">
      <c r="E809" s="10"/>
      <c r="G809" s="11"/>
    </row>
    <row r="810" ht="15.75" customHeight="1">
      <c r="E810" s="10"/>
      <c r="G810" s="11"/>
    </row>
    <row r="811" ht="15.75" customHeight="1">
      <c r="E811" s="10"/>
      <c r="G811" s="11"/>
    </row>
    <row r="812" ht="15.75" customHeight="1">
      <c r="E812" s="10"/>
      <c r="G812" s="11"/>
    </row>
    <row r="813" ht="15.75" customHeight="1">
      <c r="E813" s="10"/>
      <c r="G813" s="11"/>
    </row>
    <row r="814" ht="15.75" customHeight="1">
      <c r="E814" s="10"/>
      <c r="G814" s="11"/>
    </row>
    <row r="815" ht="15.75" customHeight="1">
      <c r="E815" s="10"/>
      <c r="G815" s="11"/>
    </row>
    <row r="816" ht="15.75" customHeight="1">
      <c r="E816" s="10"/>
      <c r="G816" s="11"/>
    </row>
    <row r="817" ht="15.75" customHeight="1">
      <c r="E817" s="10"/>
      <c r="G817" s="11"/>
    </row>
    <row r="818" ht="15.75" customHeight="1">
      <c r="E818" s="10"/>
      <c r="G818" s="11"/>
    </row>
    <row r="819" ht="15.75" customHeight="1">
      <c r="E819" s="10"/>
      <c r="G819" s="11"/>
    </row>
    <row r="820" ht="15.75" customHeight="1">
      <c r="E820" s="10"/>
      <c r="G820" s="11"/>
    </row>
    <row r="821" ht="15.75" customHeight="1">
      <c r="E821" s="10"/>
      <c r="G821" s="11"/>
    </row>
    <row r="822" ht="15.75" customHeight="1">
      <c r="E822" s="10"/>
      <c r="G822" s="11"/>
    </row>
    <row r="823" ht="15.75" customHeight="1">
      <c r="E823" s="10"/>
      <c r="G823" s="11"/>
    </row>
    <row r="824" ht="15.75" customHeight="1">
      <c r="E824" s="10"/>
      <c r="G824" s="11"/>
    </row>
    <row r="825" ht="15.75" customHeight="1">
      <c r="E825" s="10"/>
      <c r="G825" s="11"/>
    </row>
    <row r="826" ht="15.75" customHeight="1">
      <c r="E826" s="10"/>
      <c r="G826" s="11"/>
    </row>
    <row r="827" ht="15.75" customHeight="1">
      <c r="E827" s="10"/>
      <c r="G827" s="11"/>
    </row>
    <row r="828" ht="15.75" customHeight="1">
      <c r="E828" s="10"/>
      <c r="G828" s="11"/>
    </row>
    <row r="829" ht="15.75" customHeight="1">
      <c r="E829" s="10"/>
      <c r="G829" s="11"/>
    </row>
    <row r="830" ht="15.75" customHeight="1">
      <c r="E830" s="10"/>
      <c r="G830" s="11"/>
    </row>
    <row r="831" ht="15.75" customHeight="1">
      <c r="E831" s="10"/>
      <c r="G831" s="11"/>
    </row>
    <row r="832" ht="15.75" customHeight="1">
      <c r="E832" s="10"/>
      <c r="G832" s="11"/>
    </row>
    <row r="833" ht="15.75" customHeight="1">
      <c r="E833" s="10"/>
      <c r="G833" s="11"/>
    </row>
    <row r="834" ht="15.75" customHeight="1">
      <c r="E834" s="10"/>
      <c r="G834" s="11"/>
    </row>
    <row r="835" ht="15.75" customHeight="1">
      <c r="E835" s="10"/>
      <c r="G835" s="11"/>
    </row>
    <row r="836" ht="15.75" customHeight="1">
      <c r="E836" s="10"/>
      <c r="G836" s="11"/>
    </row>
    <row r="837" ht="15.75" customHeight="1">
      <c r="E837" s="10"/>
      <c r="G837" s="11"/>
    </row>
    <row r="838" ht="15.75" customHeight="1">
      <c r="E838" s="10"/>
      <c r="G838" s="11"/>
    </row>
    <row r="839" ht="15.75" customHeight="1">
      <c r="E839" s="10"/>
      <c r="G839" s="11"/>
    </row>
    <row r="840" ht="15.75" customHeight="1">
      <c r="E840" s="10"/>
      <c r="G840" s="11"/>
    </row>
    <row r="841" ht="15.75" customHeight="1">
      <c r="E841" s="10"/>
      <c r="G841" s="11"/>
    </row>
    <row r="842" ht="15.75" customHeight="1">
      <c r="E842" s="10"/>
      <c r="G842" s="11"/>
    </row>
    <row r="843" ht="15.75" customHeight="1">
      <c r="E843" s="10"/>
      <c r="G843" s="11"/>
    </row>
    <row r="844" ht="15.75" customHeight="1">
      <c r="E844" s="10"/>
      <c r="G844" s="11"/>
    </row>
    <row r="845" ht="15.75" customHeight="1">
      <c r="E845" s="10"/>
      <c r="G845" s="11"/>
    </row>
    <row r="846" ht="15.75" customHeight="1">
      <c r="E846" s="10"/>
      <c r="G846" s="11"/>
    </row>
    <row r="847" ht="15.75" customHeight="1">
      <c r="E847" s="10"/>
      <c r="G847" s="11"/>
    </row>
    <row r="848" ht="15.75" customHeight="1">
      <c r="E848" s="10"/>
      <c r="G848" s="11"/>
    </row>
    <row r="849" ht="15.75" customHeight="1">
      <c r="E849" s="10"/>
      <c r="G849" s="11"/>
    </row>
    <row r="850" ht="15.75" customHeight="1">
      <c r="E850" s="10"/>
      <c r="G850" s="11"/>
    </row>
    <row r="851" ht="15.75" customHeight="1">
      <c r="E851" s="10"/>
      <c r="G851" s="11"/>
    </row>
    <row r="852" ht="15.75" customHeight="1">
      <c r="E852" s="10"/>
      <c r="G852" s="11"/>
    </row>
    <row r="853" ht="15.75" customHeight="1">
      <c r="E853" s="10"/>
      <c r="G853" s="11"/>
    </row>
    <row r="854" ht="15.75" customHeight="1">
      <c r="E854" s="10"/>
      <c r="G854" s="11"/>
    </row>
    <row r="855" ht="15.75" customHeight="1">
      <c r="E855" s="10"/>
      <c r="G855" s="11"/>
    </row>
    <row r="856" ht="15.75" customHeight="1">
      <c r="E856" s="10"/>
      <c r="G856" s="11"/>
    </row>
    <row r="857" ht="15.75" customHeight="1">
      <c r="E857" s="10"/>
      <c r="G857" s="11"/>
    </row>
    <row r="858" ht="15.75" customHeight="1">
      <c r="E858" s="10"/>
      <c r="G858" s="11"/>
    </row>
    <row r="859" ht="15.75" customHeight="1">
      <c r="E859" s="10"/>
      <c r="G859" s="11"/>
    </row>
    <row r="860" ht="15.75" customHeight="1">
      <c r="E860" s="10"/>
      <c r="G860" s="11"/>
    </row>
    <row r="861" ht="15.75" customHeight="1">
      <c r="E861" s="10"/>
      <c r="G861" s="11"/>
    </row>
    <row r="862" ht="15.75" customHeight="1">
      <c r="E862" s="10"/>
      <c r="G862" s="11"/>
    </row>
    <row r="863" ht="15.75" customHeight="1">
      <c r="E863" s="10"/>
      <c r="G863" s="11"/>
    </row>
    <row r="864" ht="15.75" customHeight="1">
      <c r="E864" s="10"/>
      <c r="G864" s="11"/>
    </row>
    <row r="865" ht="15.75" customHeight="1">
      <c r="E865" s="10"/>
      <c r="G865" s="11"/>
    </row>
    <row r="866" ht="15.75" customHeight="1">
      <c r="E866" s="10"/>
      <c r="G866" s="11"/>
    </row>
    <row r="867" ht="15.75" customHeight="1">
      <c r="E867" s="10"/>
      <c r="G867" s="11"/>
    </row>
    <row r="868" ht="15.75" customHeight="1">
      <c r="E868" s="10"/>
      <c r="G868" s="11"/>
    </row>
    <row r="869" ht="15.75" customHeight="1">
      <c r="E869" s="10"/>
      <c r="G869" s="11"/>
    </row>
    <row r="870" ht="15.75" customHeight="1">
      <c r="E870" s="10"/>
      <c r="G870" s="11"/>
    </row>
    <row r="871" ht="15.75" customHeight="1">
      <c r="E871" s="10"/>
      <c r="G871" s="11"/>
    </row>
    <row r="872" ht="15.75" customHeight="1">
      <c r="E872" s="10"/>
      <c r="G872" s="11"/>
    </row>
    <row r="873" ht="15.75" customHeight="1">
      <c r="E873" s="10"/>
      <c r="G873" s="11"/>
    </row>
    <row r="874" ht="15.75" customHeight="1">
      <c r="E874" s="10"/>
      <c r="G874" s="11"/>
    </row>
    <row r="875" ht="15.75" customHeight="1">
      <c r="E875" s="10"/>
      <c r="G875" s="11"/>
    </row>
    <row r="876" ht="15.75" customHeight="1">
      <c r="E876" s="10"/>
      <c r="G876" s="11"/>
    </row>
    <row r="877" ht="15.75" customHeight="1">
      <c r="E877" s="10"/>
      <c r="G877" s="11"/>
    </row>
    <row r="878" ht="15.75" customHeight="1">
      <c r="E878" s="10"/>
      <c r="G878" s="11"/>
    </row>
    <row r="879" ht="15.75" customHeight="1">
      <c r="E879" s="10"/>
      <c r="G879" s="11"/>
    </row>
    <row r="880" ht="15.75" customHeight="1">
      <c r="E880" s="10"/>
      <c r="G880" s="11"/>
    </row>
    <row r="881" ht="15.75" customHeight="1">
      <c r="E881" s="10"/>
      <c r="G881" s="11"/>
    </row>
    <row r="882" ht="15.75" customHeight="1">
      <c r="E882" s="10"/>
      <c r="G882" s="11"/>
    </row>
    <row r="883" ht="15.75" customHeight="1">
      <c r="E883" s="10"/>
      <c r="G883" s="11"/>
    </row>
    <row r="884" ht="15.75" customHeight="1">
      <c r="E884" s="10"/>
      <c r="G884" s="11"/>
    </row>
    <row r="885" ht="15.75" customHeight="1">
      <c r="E885" s="10"/>
      <c r="G885" s="11"/>
    </row>
    <row r="886" ht="15.75" customHeight="1">
      <c r="E886" s="10"/>
      <c r="G886" s="11"/>
    </row>
    <row r="887" ht="15.75" customHeight="1">
      <c r="E887" s="10"/>
      <c r="G887" s="11"/>
    </row>
    <row r="888" ht="15.75" customHeight="1">
      <c r="E888" s="10"/>
      <c r="G888" s="11"/>
    </row>
    <row r="889" ht="15.75" customHeight="1">
      <c r="E889" s="10"/>
      <c r="G889" s="11"/>
    </row>
    <row r="890" ht="15.75" customHeight="1">
      <c r="E890" s="10"/>
      <c r="G890" s="11"/>
    </row>
    <row r="891" ht="15.75" customHeight="1">
      <c r="E891" s="10"/>
      <c r="G891" s="11"/>
    </row>
    <row r="892" ht="15.75" customHeight="1">
      <c r="E892" s="10"/>
      <c r="G892" s="11"/>
    </row>
    <row r="893" ht="15.75" customHeight="1">
      <c r="E893" s="10"/>
      <c r="G893" s="11"/>
    </row>
    <row r="894" ht="15.75" customHeight="1">
      <c r="E894" s="10"/>
      <c r="G894" s="11"/>
    </row>
    <row r="895" ht="15.75" customHeight="1">
      <c r="E895" s="10"/>
      <c r="G895" s="11"/>
    </row>
    <row r="896" ht="15.75" customHeight="1">
      <c r="E896" s="10"/>
      <c r="G896" s="11"/>
    </row>
    <row r="897" ht="15.75" customHeight="1">
      <c r="E897" s="10"/>
      <c r="G897" s="11"/>
    </row>
    <row r="898" ht="15.75" customHeight="1">
      <c r="E898" s="10"/>
      <c r="G898" s="11"/>
    </row>
    <row r="899" ht="15.75" customHeight="1">
      <c r="E899" s="10"/>
      <c r="G899" s="11"/>
    </row>
    <row r="900" ht="15.75" customHeight="1">
      <c r="E900" s="10"/>
      <c r="G900" s="11"/>
    </row>
    <row r="901" ht="15.75" customHeight="1">
      <c r="E901" s="10"/>
      <c r="G901" s="11"/>
    </row>
    <row r="902" ht="15.75" customHeight="1">
      <c r="E902" s="10"/>
      <c r="G902" s="11"/>
    </row>
    <row r="903" ht="15.75" customHeight="1">
      <c r="E903" s="10"/>
      <c r="G903" s="11"/>
    </row>
    <row r="904" ht="15.75" customHeight="1">
      <c r="E904" s="10"/>
      <c r="G904" s="11"/>
    </row>
    <row r="905" ht="15.75" customHeight="1">
      <c r="E905" s="10"/>
      <c r="G905" s="11"/>
    </row>
    <row r="906" ht="15.75" customHeight="1">
      <c r="E906" s="10"/>
      <c r="G906" s="11"/>
    </row>
    <row r="907" ht="15.75" customHeight="1">
      <c r="E907" s="10"/>
      <c r="G907" s="11"/>
    </row>
    <row r="908" ht="15.75" customHeight="1">
      <c r="E908" s="10"/>
      <c r="G908" s="11"/>
    </row>
    <row r="909" ht="15.75" customHeight="1">
      <c r="E909" s="10"/>
      <c r="G909" s="11"/>
    </row>
    <row r="910" ht="15.75" customHeight="1">
      <c r="E910" s="10"/>
      <c r="G910" s="11"/>
    </row>
    <row r="911" ht="15.75" customHeight="1">
      <c r="E911" s="10"/>
      <c r="G911" s="11"/>
    </row>
    <row r="912" ht="15.75" customHeight="1">
      <c r="E912" s="10"/>
      <c r="G912" s="11"/>
    </row>
    <row r="913" ht="15.75" customHeight="1">
      <c r="E913" s="10"/>
      <c r="G913" s="11"/>
    </row>
    <row r="914" ht="15.75" customHeight="1">
      <c r="E914" s="10"/>
      <c r="G914" s="11"/>
    </row>
    <row r="915" ht="15.75" customHeight="1">
      <c r="E915" s="10"/>
      <c r="G915" s="11"/>
    </row>
    <row r="916" ht="15.75" customHeight="1">
      <c r="E916" s="10"/>
      <c r="G916" s="11"/>
    </row>
    <row r="917" ht="15.75" customHeight="1">
      <c r="E917" s="10"/>
      <c r="G917" s="11"/>
    </row>
    <row r="918" ht="15.75" customHeight="1">
      <c r="E918" s="10"/>
      <c r="G918" s="11"/>
    </row>
    <row r="919" ht="15.75" customHeight="1">
      <c r="E919" s="10"/>
      <c r="G919" s="11"/>
    </row>
    <row r="920" ht="15.75" customHeight="1">
      <c r="E920" s="10"/>
      <c r="G920" s="11"/>
    </row>
    <row r="921" ht="15.75" customHeight="1">
      <c r="E921" s="10"/>
      <c r="G921" s="11"/>
    </row>
    <row r="922" ht="15.75" customHeight="1">
      <c r="E922" s="10"/>
      <c r="G922" s="11"/>
    </row>
    <row r="923" ht="15.75" customHeight="1">
      <c r="E923" s="10"/>
      <c r="G923" s="11"/>
    </row>
    <row r="924" ht="15.75" customHeight="1">
      <c r="E924" s="10"/>
      <c r="G924" s="11"/>
    </row>
    <row r="925" ht="15.75" customHeight="1">
      <c r="E925" s="10"/>
      <c r="G925" s="11"/>
    </row>
    <row r="926" ht="15.75" customHeight="1">
      <c r="E926" s="10"/>
      <c r="G926" s="11"/>
    </row>
    <row r="927" ht="15.75" customHeight="1">
      <c r="E927" s="10"/>
      <c r="G927" s="11"/>
    </row>
    <row r="928" ht="15.75" customHeight="1">
      <c r="E928" s="10"/>
      <c r="G928" s="11"/>
    </row>
    <row r="929" ht="15.75" customHeight="1">
      <c r="E929" s="10"/>
      <c r="G929" s="11"/>
    </row>
    <row r="930" ht="15.75" customHeight="1">
      <c r="E930" s="10"/>
      <c r="G930" s="11"/>
    </row>
    <row r="931" ht="15.75" customHeight="1">
      <c r="E931" s="10"/>
      <c r="G931" s="11"/>
    </row>
    <row r="932" ht="15.75" customHeight="1">
      <c r="E932" s="10"/>
      <c r="G932" s="11"/>
    </row>
    <row r="933" ht="15.75" customHeight="1">
      <c r="E933" s="10"/>
      <c r="G933" s="11"/>
    </row>
    <row r="934" ht="15.75" customHeight="1">
      <c r="E934" s="10"/>
      <c r="G934" s="11"/>
    </row>
  </sheetData>
  <mergeCells count="1">
    <mergeCell ref="A1:G1"/>
  </mergeCells>
  <dataValidations>
    <dataValidation type="list" allowBlank="1" sqref="E5:E25">
      <formula1>"1,2,3,4,5"</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48.0"/>
    <col customWidth="1" min="4" max="4" width="90.0"/>
    <col customWidth="1" min="5" max="5" width="12.0"/>
    <col customWidth="1" min="6" max="6" width="28.0"/>
    <col customWidth="1" min="7" max="7" width="35.0"/>
  </cols>
  <sheetData>
    <row r="1">
      <c r="A1" s="3" t="s">
        <v>7</v>
      </c>
    </row>
    <row r="2">
      <c r="A2" s="7" t="s">
        <v>10</v>
      </c>
      <c r="B2" s="6" t="s">
        <v>16</v>
      </c>
      <c r="C2" s="6"/>
      <c r="D2" s="6"/>
      <c r="E2" s="6"/>
      <c r="F2" s="6"/>
      <c r="G2" s="6"/>
    </row>
    <row r="4">
      <c r="A4" s="9" t="s">
        <v>1</v>
      </c>
      <c r="B4" s="9" t="s">
        <v>2</v>
      </c>
      <c r="C4" s="9" t="s">
        <v>4</v>
      </c>
      <c r="D4" s="9" t="s">
        <v>6</v>
      </c>
      <c r="E4" s="9" t="s">
        <v>34</v>
      </c>
      <c r="F4" s="9" t="s">
        <v>35</v>
      </c>
      <c r="G4" s="9" t="s">
        <v>37</v>
      </c>
    </row>
    <row r="5">
      <c r="A5" s="5" t="s">
        <v>40</v>
      </c>
      <c r="B5" s="6" t="s">
        <v>11</v>
      </c>
      <c r="C5" s="6" t="s">
        <v>12</v>
      </c>
      <c r="D5" s="6" t="s">
        <v>19</v>
      </c>
      <c r="E5" s="5">
        <v>5.0</v>
      </c>
      <c r="F5" s="13"/>
      <c r="G5" s="6" t="s">
        <v>54</v>
      </c>
    </row>
    <row r="6">
      <c r="A6" s="5" t="s">
        <v>55</v>
      </c>
      <c r="B6" s="6" t="s">
        <v>22</v>
      </c>
      <c r="C6" s="6" t="s">
        <v>23</v>
      </c>
      <c r="D6" s="6" t="s">
        <v>28</v>
      </c>
      <c r="E6" s="5">
        <v>5.0</v>
      </c>
      <c r="F6" s="13"/>
      <c r="G6" s="13"/>
    </row>
    <row r="7">
      <c r="A7" s="5" t="s">
        <v>63</v>
      </c>
      <c r="B7" s="6" t="s">
        <v>30</v>
      </c>
      <c r="C7" s="6" t="s">
        <v>31</v>
      </c>
      <c r="D7" s="6" t="s">
        <v>33</v>
      </c>
      <c r="E7" s="5">
        <v>4.0</v>
      </c>
      <c r="F7" s="13"/>
      <c r="G7" s="6" t="s">
        <v>68</v>
      </c>
    </row>
    <row r="8">
      <c r="A8" s="5" t="s">
        <v>70</v>
      </c>
      <c r="B8" s="6" t="s">
        <v>36</v>
      </c>
      <c r="C8" s="6" t="s">
        <v>38</v>
      </c>
      <c r="D8" s="6" t="s">
        <v>41</v>
      </c>
      <c r="E8" s="5">
        <v>5.0</v>
      </c>
      <c r="F8" s="13"/>
      <c r="G8" s="13"/>
    </row>
    <row r="9">
      <c r="A9" s="5" t="s">
        <v>71</v>
      </c>
      <c r="B9" s="6" t="s">
        <v>42</v>
      </c>
      <c r="C9" s="6" t="s">
        <v>43</v>
      </c>
      <c r="D9" s="6" t="s">
        <v>45</v>
      </c>
      <c r="E9" s="5">
        <v>5.0</v>
      </c>
      <c r="F9" s="13"/>
      <c r="G9" s="13"/>
    </row>
    <row r="10">
      <c r="A10" s="5" t="s">
        <v>72</v>
      </c>
      <c r="B10" s="6" t="s">
        <v>46</v>
      </c>
      <c r="C10" s="6" t="s">
        <v>47</v>
      </c>
      <c r="D10" s="6" t="s">
        <v>49</v>
      </c>
      <c r="E10" s="5">
        <v>4.0</v>
      </c>
      <c r="F10" s="13"/>
      <c r="G10" s="6" t="s">
        <v>73</v>
      </c>
    </row>
    <row r="11">
      <c r="A11" s="5" t="s">
        <v>74</v>
      </c>
      <c r="B11" s="6" t="s">
        <v>50</v>
      </c>
      <c r="C11" s="6" t="s">
        <v>51</v>
      </c>
      <c r="D11" s="6" t="s">
        <v>53</v>
      </c>
      <c r="E11" s="5">
        <v>5.0</v>
      </c>
      <c r="F11" s="13"/>
      <c r="G11" s="13"/>
    </row>
    <row r="12">
      <c r="A12" s="5" t="s">
        <v>75</v>
      </c>
      <c r="B12" s="6" t="s">
        <v>76</v>
      </c>
      <c r="C12" s="6" t="s">
        <v>57</v>
      </c>
      <c r="D12" s="6" t="s">
        <v>59</v>
      </c>
      <c r="E12" s="5">
        <v>4.0</v>
      </c>
      <c r="F12" s="13"/>
      <c r="G12" s="6" t="s">
        <v>77</v>
      </c>
    </row>
    <row r="13">
      <c r="A13" s="5" t="s">
        <v>78</v>
      </c>
      <c r="B13" s="6" t="s">
        <v>60</v>
      </c>
      <c r="C13" s="6" t="s">
        <v>61</v>
      </c>
      <c r="D13" s="6" t="s">
        <v>64</v>
      </c>
      <c r="E13" s="5">
        <v>5.0</v>
      </c>
      <c r="F13" s="13"/>
      <c r="G13" s="13"/>
    </row>
    <row r="14">
      <c r="A14" s="5" t="s">
        <v>79</v>
      </c>
      <c r="B14" s="6" t="s">
        <v>65</v>
      </c>
      <c r="C14" s="6" t="s">
        <v>66</v>
      </c>
      <c r="D14" s="6" t="s">
        <v>69</v>
      </c>
      <c r="E14" s="5">
        <v>4.0</v>
      </c>
      <c r="F14" s="13"/>
      <c r="G14" s="6" t="s">
        <v>80</v>
      </c>
    </row>
    <row r="15">
      <c r="A15" s="15" t="s">
        <v>81</v>
      </c>
      <c r="B15" s="15" t="s">
        <v>82</v>
      </c>
      <c r="C15" s="15" t="s">
        <v>83</v>
      </c>
      <c r="D15" s="15" t="s">
        <v>84</v>
      </c>
      <c r="E15" s="16">
        <v>3.0</v>
      </c>
      <c r="F15" s="17" t="s">
        <v>85</v>
      </c>
      <c r="G15" s="18"/>
    </row>
    <row r="16">
      <c r="A16" s="15" t="s">
        <v>86</v>
      </c>
      <c r="B16" s="15" t="s">
        <v>87</v>
      </c>
      <c r="C16" s="15" t="s">
        <v>88</v>
      </c>
      <c r="D16" s="15" t="s">
        <v>89</v>
      </c>
      <c r="E16" s="16">
        <v>1.0</v>
      </c>
      <c r="F16" s="17" t="s">
        <v>90</v>
      </c>
      <c r="G16" s="18"/>
    </row>
    <row r="17">
      <c r="A17" s="15" t="s">
        <v>91</v>
      </c>
      <c r="B17" s="17" t="s">
        <v>92</v>
      </c>
      <c r="C17" s="15" t="s">
        <v>93</v>
      </c>
      <c r="D17" s="15" t="s">
        <v>94</v>
      </c>
      <c r="E17" s="16">
        <v>4.0</v>
      </c>
      <c r="F17" s="17" t="s">
        <v>95</v>
      </c>
      <c r="G17" s="18"/>
    </row>
    <row r="18">
      <c r="A18" s="15" t="s">
        <v>96</v>
      </c>
      <c r="B18" s="17" t="s">
        <v>97</v>
      </c>
      <c r="C18" s="15" t="s">
        <v>98</v>
      </c>
      <c r="D18" s="15" t="s">
        <v>99</v>
      </c>
      <c r="E18" s="16">
        <v>1.0</v>
      </c>
      <c r="F18" s="17" t="s">
        <v>100</v>
      </c>
      <c r="G18" s="18"/>
    </row>
    <row r="19">
      <c r="A19" s="15" t="s">
        <v>101</v>
      </c>
      <c r="B19" s="21" t="s">
        <v>102</v>
      </c>
      <c r="C19" s="15" t="s">
        <v>104</v>
      </c>
      <c r="D19" s="15" t="s">
        <v>106</v>
      </c>
      <c r="E19" s="16">
        <v>5.0</v>
      </c>
      <c r="F19" s="15"/>
      <c r="G19" s="18"/>
    </row>
    <row r="20">
      <c r="A20" s="15" t="s">
        <v>107</v>
      </c>
      <c r="B20" s="21" t="s">
        <v>108</v>
      </c>
      <c r="C20" s="15" t="s">
        <v>109</v>
      </c>
      <c r="D20" s="15" t="s">
        <v>110</v>
      </c>
      <c r="E20" s="16">
        <v>3.0</v>
      </c>
      <c r="F20" s="17" t="s">
        <v>111</v>
      </c>
      <c r="G20" s="18"/>
    </row>
    <row r="21">
      <c r="A21" s="15" t="s">
        <v>112</v>
      </c>
      <c r="B21" s="17" t="s">
        <v>113</v>
      </c>
      <c r="C21" s="15" t="s">
        <v>114</v>
      </c>
      <c r="D21" s="15" t="s">
        <v>115</v>
      </c>
      <c r="E21" s="16">
        <v>5.0</v>
      </c>
      <c r="F21" s="15"/>
      <c r="G21" s="18"/>
    </row>
    <row r="22">
      <c r="A22" s="15" t="s">
        <v>116</v>
      </c>
      <c r="B22" s="15" t="s">
        <v>117</v>
      </c>
      <c r="C22" s="15" t="s">
        <v>118</v>
      </c>
      <c r="D22" s="15" t="s">
        <v>119</v>
      </c>
      <c r="E22" s="16">
        <v>1.0</v>
      </c>
      <c r="F22" s="17" t="s">
        <v>120</v>
      </c>
      <c r="G22" s="18"/>
    </row>
    <row r="23">
      <c r="A23" s="15" t="s">
        <v>121</v>
      </c>
      <c r="B23" s="15" t="s">
        <v>123</v>
      </c>
      <c r="C23" s="15" t="s">
        <v>124</v>
      </c>
      <c r="D23" s="15" t="s">
        <v>125</v>
      </c>
      <c r="E23" s="16">
        <v>1.0</v>
      </c>
      <c r="F23" s="17" t="s">
        <v>126</v>
      </c>
      <c r="G23" s="18"/>
    </row>
    <row r="24">
      <c r="A24" s="15" t="s">
        <v>128</v>
      </c>
      <c r="B24" s="15" t="s">
        <v>129</v>
      </c>
      <c r="C24" s="15" t="s">
        <v>130</v>
      </c>
      <c r="D24" s="15" t="s">
        <v>131</v>
      </c>
      <c r="E24" s="16">
        <v>3.0</v>
      </c>
      <c r="F24" s="17" t="s">
        <v>132</v>
      </c>
      <c r="G24" s="18"/>
    </row>
    <row r="25">
      <c r="A25" s="15" t="s">
        <v>133</v>
      </c>
      <c r="B25" s="15" t="s">
        <v>134</v>
      </c>
      <c r="C25" s="15" t="s">
        <v>135</v>
      </c>
      <c r="D25" s="15" t="s">
        <v>136</v>
      </c>
      <c r="E25" s="16">
        <v>5.0</v>
      </c>
      <c r="F25" s="15"/>
      <c r="G25" s="1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ataValidations>
    <dataValidation type="list" allowBlank="1" sqref="E5:E25">
      <formula1>"1,2,3,4,5"</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48.0"/>
    <col customWidth="1" min="4" max="4" width="90.0"/>
    <col customWidth="1" min="5" max="5" width="12.0"/>
    <col customWidth="1" min="6" max="6" width="28.0"/>
    <col customWidth="1" min="7" max="7" width="35.0"/>
  </cols>
  <sheetData>
    <row r="1">
      <c r="A1" s="3" t="s">
        <v>137</v>
      </c>
    </row>
    <row r="2">
      <c r="A2" s="7" t="s">
        <v>10</v>
      </c>
      <c r="B2" s="6" t="s">
        <v>16</v>
      </c>
      <c r="C2" s="6"/>
      <c r="D2" s="6"/>
      <c r="E2" s="6"/>
      <c r="F2" s="6"/>
      <c r="G2" s="6"/>
    </row>
    <row r="3">
      <c r="F3" s="25"/>
      <c r="G3" s="25"/>
    </row>
    <row r="4">
      <c r="A4" s="9" t="s">
        <v>1</v>
      </c>
      <c r="B4" s="9" t="s">
        <v>2</v>
      </c>
      <c r="C4" s="9" t="s">
        <v>4</v>
      </c>
      <c r="D4" s="9" t="s">
        <v>6</v>
      </c>
      <c r="E4" s="9" t="s">
        <v>34</v>
      </c>
      <c r="F4" s="26" t="s">
        <v>35</v>
      </c>
      <c r="G4" s="26" t="s">
        <v>37</v>
      </c>
    </row>
    <row r="5" ht="169.5" customHeight="1">
      <c r="A5" s="5" t="s">
        <v>40</v>
      </c>
      <c r="B5" s="6" t="s">
        <v>11</v>
      </c>
      <c r="C5" s="6" t="s">
        <v>12</v>
      </c>
      <c r="D5" s="6" t="s">
        <v>19</v>
      </c>
      <c r="E5" s="5">
        <v>4.0</v>
      </c>
      <c r="F5" s="6"/>
      <c r="G5" s="6" t="s">
        <v>140</v>
      </c>
    </row>
    <row r="6" ht="169.5" customHeight="1">
      <c r="A6" s="5" t="s">
        <v>55</v>
      </c>
      <c r="B6" s="6" t="s">
        <v>22</v>
      </c>
      <c r="C6" s="6" t="s">
        <v>23</v>
      </c>
      <c r="D6" s="6" t="s">
        <v>28</v>
      </c>
      <c r="E6" s="5">
        <v>4.0</v>
      </c>
      <c r="F6" s="6"/>
      <c r="G6" s="6" t="s">
        <v>141</v>
      </c>
    </row>
    <row r="7" ht="169.5" customHeight="1">
      <c r="A7" s="5" t="s">
        <v>63</v>
      </c>
      <c r="B7" s="6" t="s">
        <v>30</v>
      </c>
      <c r="C7" s="6" t="s">
        <v>31</v>
      </c>
      <c r="D7" s="6" t="s">
        <v>33</v>
      </c>
      <c r="E7" s="5">
        <v>5.0</v>
      </c>
      <c r="F7" s="6"/>
      <c r="G7" s="6" t="s">
        <v>142</v>
      </c>
    </row>
    <row r="8" ht="169.5" customHeight="1">
      <c r="A8" s="5" t="s">
        <v>70</v>
      </c>
      <c r="B8" s="6" t="s">
        <v>36</v>
      </c>
      <c r="C8" s="6" t="s">
        <v>38</v>
      </c>
      <c r="D8" s="6" t="s">
        <v>41</v>
      </c>
      <c r="E8" s="5">
        <v>5.0</v>
      </c>
      <c r="F8" s="6"/>
      <c r="G8" s="6" t="s">
        <v>143</v>
      </c>
    </row>
    <row r="9" ht="169.5" customHeight="1">
      <c r="A9" s="5" t="s">
        <v>71</v>
      </c>
      <c r="B9" s="6" t="s">
        <v>42</v>
      </c>
      <c r="C9" s="6" t="s">
        <v>43</v>
      </c>
      <c r="D9" s="6" t="s">
        <v>45</v>
      </c>
      <c r="E9" s="5">
        <v>5.0</v>
      </c>
      <c r="F9" s="6"/>
      <c r="G9" s="6" t="s">
        <v>143</v>
      </c>
    </row>
    <row r="10" ht="169.5" customHeight="1">
      <c r="A10" s="5" t="s">
        <v>72</v>
      </c>
      <c r="B10" s="6" t="s">
        <v>46</v>
      </c>
      <c r="C10" s="6" t="s">
        <v>47</v>
      </c>
      <c r="D10" s="6" t="s">
        <v>49</v>
      </c>
      <c r="E10" s="5">
        <v>3.0</v>
      </c>
      <c r="F10" s="6"/>
      <c r="G10" s="6" t="s">
        <v>144</v>
      </c>
    </row>
    <row r="11" ht="169.5" customHeight="1">
      <c r="A11" s="5" t="s">
        <v>74</v>
      </c>
      <c r="B11" s="6" t="s">
        <v>50</v>
      </c>
      <c r="C11" s="6" t="s">
        <v>51</v>
      </c>
      <c r="D11" s="6" t="s">
        <v>53</v>
      </c>
      <c r="E11" s="5">
        <v>5.0</v>
      </c>
      <c r="F11" s="6"/>
      <c r="G11" s="6" t="s">
        <v>143</v>
      </c>
    </row>
    <row r="12" ht="169.5" customHeight="1">
      <c r="A12" s="5" t="s">
        <v>75</v>
      </c>
      <c r="B12" s="6" t="s">
        <v>76</v>
      </c>
      <c r="C12" s="6" t="s">
        <v>57</v>
      </c>
      <c r="D12" s="6" t="s">
        <v>59</v>
      </c>
      <c r="E12" s="5">
        <v>5.0</v>
      </c>
      <c r="F12" s="6"/>
      <c r="G12" s="6" t="s">
        <v>145</v>
      </c>
    </row>
    <row r="13" ht="169.5" customHeight="1">
      <c r="A13" s="5" t="s">
        <v>78</v>
      </c>
      <c r="B13" s="6" t="s">
        <v>60</v>
      </c>
      <c r="C13" s="6" t="s">
        <v>61</v>
      </c>
      <c r="D13" s="6" t="s">
        <v>64</v>
      </c>
      <c r="E13" s="5">
        <v>5.0</v>
      </c>
      <c r="F13" s="6"/>
      <c r="G13" s="6" t="s">
        <v>146</v>
      </c>
    </row>
    <row r="14" ht="169.5" customHeight="1">
      <c r="A14" s="5" t="s">
        <v>79</v>
      </c>
      <c r="B14" s="6" t="s">
        <v>65</v>
      </c>
      <c r="C14" s="6" t="s">
        <v>66</v>
      </c>
      <c r="D14" s="6" t="s">
        <v>69</v>
      </c>
      <c r="E14" s="5">
        <v>5.0</v>
      </c>
      <c r="F14" s="6"/>
      <c r="G14" s="6" t="s">
        <v>147</v>
      </c>
    </row>
    <row r="15">
      <c r="A15" s="15" t="s">
        <v>81</v>
      </c>
      <c r="B15" s="15" t="s">
        <v>82</v>
      </c>
      <c r="C15" s="15" t="s">
        <v>83</v>
      </c>
      <c r="D15" s="15" t="s">
        <v>84</v>
      </c>
      <c r="E15" s="16">
        <v>5.0</v>
      </c>
      <c r="F15" s="27"/>
      <c r="G15" s="28" t="s">
        <v>143</v>
      </c>
    </row>
    <row r="16">
      <c r="A16" s="15" t="s">
        <v>86</v>
      </c>
      <c r="B16" s="15" t="s">
        <v>87</v>
      </c>
      <c r="C16" s="15" t="s">
        <v>88</v>
      </c>
      <c r="D16" s="15" t="s">
        <v>89</v>
      </c>
      <c r="E16" s="16">
        <v>4.0</v>
      </c>
      <c r="F16" s="27"/>
      <c r="G16" s="28" t="s">
        <v>149</v>
      </c>
    </row>
    <row r="17">
      <c r="A17" s="15" t="s">
        <v>91</v>
      </c>
      <c r="B17" s="17" t="s">
        <v>92</v>
      </c>
      <c r="C17" s="15" t="s">
        <v>93</v>
      </c>
      <c r="D17" s="15" t="s">
        <v>94</v>
      </c>
      <c r="E17" s="16">
        <v>5.0</v>
      </c>
      <c r="F17" s="27"/>
      <c r="G17" s="28" t="s">
        <v>143</v>
      </c>
    </row>
    <row r="18">
      <c r="A18" s="15" t="s">
        <v>96</v>
      </c>
      <c r="B18" s="17" t="s">
        <v>122</v>
      </c>
      <c r="C18" s="15" t="s">
        <v>98</v>
      </c>
      <c r="D18" s="15" t="s">
        <v>99</v>
      </c>
      <c r="E18" s="16">
        <v>4.0</v>
      </c>
      <c r="F18" s="29" t="s">
        <v>150</v>
      </c>
      <c r="G18" s="28" t="s">
        <v>151</v>
      </c>
    </row>
    <row r="19">
      <c r="A19" s="15" t="s">
        <v>101</v>
      </c>
      <c r="B19" s="21" t="s">
        <v>102</v>
      </c>
      <c r="C19" s="15" t="s">
        <v>104</v>
      </c>
      <c r="D19" s="15" t="s">
        <v>106</v>
      </c>
      <c r="E19" s="16">
        <v>5.0</v>
      </c>
      <c r="F19" s="27"/>
      <c r="G19" s="28" t="s">
        <v>143</v>
      </c>
    </row>
    <row r="20">
      <c r="A20" s="15" t="s">
        <v>107</v>
      </c>
      <c r="B20" s="21" t="s">
        <v>108</v>
      </c>
      <c r="C20" s="15" t="s">
        <v>109</v>
      </c>
      <c r="D20" s="15" t="s">
        <v>110</v>
      </c>
      <c r="E20" s="16">
        <v>5.0</v>
      </c>
      <c r="F20" s="27"/>
      <c r="G20" s="28" t="s">
        <v>143</v>
      </c>
    </row>
    <row r="21">
      <c r="A21" s="15" t="s">
        <v>112</v>
      </c>
      <c r="B21" s="17" t="s">
        <v>113</v>
      </c>
      <c r="C21" s="15" t="s">
        <v>114</v>
      </c>
      <c r="D21" s="15" t="s">
        <v>115</v>
      </c>
      <c r="E21" s="16">
        <v>5.0</v>
      </c>
      <c r="F21" s="27"/>
      <c r="G21" s="28" t="s">
        <v>143</v>
      </c>
    </row>
    <row r="22" ht="15.75" customHeight="1">
      <c r="A22" s="15" t="s">
        <v>121</v>
      </c>
      <c r="B22" s="15" t="s">
        <v>123</v>
      </c>
      <c r="C22" s="15" t="s">
        <v>124</v>
      </c>
      <c r="D22" s="15" t="s">
        <v>125</v>
      </c>
      <c r="E22" s="16">
        <v>3.0</v>
      </c>
      <c r="F22" s="27"/>
      <c r="G22" s="28" t="s">
        <v>152</v>
      </c>
    </row>
    <row r="23" ht="15.75" customHeight="1">
      <c r="A23" s="15" t="s">
        <v>116</v>
      </c>
      <c r="B23" s="15" t="s">
        <v>117</v>
      </c>
      <c r="C23" s="15" t="s">
        <v>118</v>
      </c>
      <c r="D23" s="15" t="s">
        <v>119</v>
      </c>
      <c r="E23" s="16">
        <v>4.0</v>
      </c>
      <c r="F23" s="27"/>
      <c r="G23" s="28" t="s">
        <v>153</v>
      </c>
    </row>
    <row r="24" ht="15.75" customHeight="1">
      <c r="A24" s="15" t="s">
        <v>133</v>
      </c>
      <c r="B24" s="15" t="s">
        <v>134</v>
      </c>
      <c r="C24" s="15" t="s">
        <v>135</v>
      </c>
      <c r="D24" s="15" t="s">
        <v>136</v>
      </c>
      <c r="E24" s="16">
        <v>5.0</v>
      </c>
      <c r="F24" s="27"/>
      <c r="G24" s="28" t="s">
        <v>143</v>
      </c>
    </row>
    <row r="25" ht="15.75" customHeight="1">
      <c r="A25" s="15" t="s">
        <v>128</v>
      </c>
      <c r="B25" s="15" t="s">
        <v>129</v>
      </c>
      <c r="C25" s="15" t="s">
        <v>130</v>
      </c>
      <c r="D25" s="15" t="s">
        <v>131</v>
      </c>
      <c r="E25" s="16">
        <v>5.0</v>
      </c>
      <c r="F25" s="27"/>
      <c r="G25" s="28" t="s">
        <v>143</v>
      </c>
    </row>
    <row r="26" ht="15.75" customHeight="1">
      <c r="F26" s="25"/>
      <c r="G26" s="25"/>
    </row>
    <row r="27" ht="15.75" customHeight="1">
      <c r="F27" s="25"/>
      <c r="G27" s="25"/>
    </row>
    <row r="28" ht="15.75" customHeight="1">
      <c r="F28" s="25"/>
      <c r="G28" s="25"/>
    </row>
    <row r="29" ht="15.75" customHeight="1">
      <c r="F29" s="25"/>
      <c r="G29" s="25"/>
    </row>
    <row r="30" ht="15.75" customHeight="1">
      <c r="F30" s="25"/>
      <c r="G30" s="25"/>
    </row>
    <row r="31" ht="15.75" customHeight="1">
      <c r="F31" s="25"/>
      <c r="G31" s="25"/>
    </row>
    <row r="32" ht="15.75" customHeight="1">
      <c r="F32" s="25"/>
      <c r="G32" s="25"/>
    </row>
    <row r="33" ht="15.75" customHeight="1">
      <c r="F33" s="25"/>
      <c r="G33" s="25"/>
    </row>
    <row r="34" ht="15.75" customHeight="1">
      <c r="F34" s="25"/>
      <c r="G34" s="25"/>
    </row>
    <row r="35" ht="15.75" customHeight="1">
      <c r="F35" s="25"/>
      <c r="G35" s="25"/>
    </row>
    <row r="36" ht="15.75" customHeight="1">
      <c r="F36" s="25"/>
      <c r="G36" s="25"/>
    </row>
    <row r="37" ht="15.75" customHeight="1">
      <c r="F37" s="25"/>
      <c r="G37" s="25"/>
    </row>
    <row r="38" ht="15.75" customHeight="1">
      <c r="F38" s="25"/>
      <c r="G38" s="25"/>
    </row>
    <row r="39" ht="15.75" customHeight="1">
      <c r="F39" s="25"/>
      <c r="G39" s="25"/>
    </row>
    <row r="40" ht="15.75" customHeight="1">
      <c r="F40" s="25"/>
      <c r="G40" s="25"/>
    </row>
    <row r="41" ht="15.75" customHeight="1">
      <c r="F41" s="25"/>
      <c r="G41" s="25"/>
    </row>
    <row r="42" ht="15.75" customHeight="1">
      <c r="F42" s="25"/>
      <c r="G42" s="25"/>
    </row>
    <row r="43" ht="15.75" customHeight="1">
      <c r="F43" s="25"/>
      <c r="G43" s="25"/>
    </row>
    <row r="44" ht="15.75" customHeight="1">
      <c r="F44" s="25"/>
      <c r="G44" s="25"/>
    </row>
    <row r="45" ht="15.75" customHeight="1">
      <c r="F45" s="25"/>
      <c r="G45" s="25"/>
    </row>
    <row r="46" ht="15.75" customHeight="1">
      <c r="F46" s="25"/>
      <c r="G46" s="25"/>
    </row>
    <row r="47" ht="15.75" customHeight="1">
      <c r="F47" s="25"/>
      <c r="G47" s="25"/>
    </row>
    <row r="48" ht="15.75" customHeight="1">
      <c r="F48" s="25"/>
      <c r="G48" s="25"/>
    </row>
    <row r="49" ht="15.75" customHeight="1">
      <c r="F49" s="25"/>
      <c r="G49" s="25"/>
    </row>
    <row r="50" ht="15.75" customHeight="1">
      <c r="F50" s="25"/>
      <c r="G50" s="25"/>
    </row>
    <row r="51" ht="15.75" customHeight="1">
      <c r="F51" s="25"/>
      <c r="G51" s="25"/>
    </row>
    <row r="52" ht="15.75" customHeight="1">
      <c r="F52" s="25"/>
      <c r="G52" s="25"/>
    </row>
    <row r="53" ht="15.75" customHeight="1">
      <c r="F53" s="25"/>
      <c r="G53" s="25"/>
    </row>
    <row r="54" ht="15.75" customHeight="1">
      <c r="F54" s="25"/>
      <c r="G54" s="25"/>
    </row>
    <row r="55" ht="15.75" customHeight="1">
      <c r="F55" s="25"/>
      <c r="G55" s="25"/>
    </row>
    <row r="56" ht="15.75" customHeight="1">
      <c r="F56" s="25"/>
      <c r="G56" s="25"/>
    </row>
    <row r="57" ht="15.75" customHeight="1">
      <c r="F57" s="25"/>
      <c r="G57" s="25"/>
    </row>
    <row r="58" ht="15.75" customHeight="1">
      <c r="F58" s="25"/>
      <c r="G58" s="25"/>
    </row>
    <row r="59" ht="15.75" customHeight="1">
      <c r="F59" s="25"/>
      <c r="G59" s="25"/>
    </row>
    <row r="60" ht="15.75" customHeight="1">
      <c r="F60" s="25"/>
      <c r="G60" s="25"/>
    </row>
    <row r="61" ht="15.75" customHeight="1">
      <c r="F61" s="25"/>
      <c r="G61" s="25"/>
    </row>
    <row r="62" ht="15.75" customHeight="1">
      <c r="F62" s="25"/>
      <c r="G62" s="25"/>
    </row>
    <row r="63" ht="15.75" customHeight="1">
      <c r="F63" s="25"/>
      <c r="G63" s="25"/>
    </row>
    <row r="64" ht="15.75" customHeight="1">
      <c r="F64" s="25"/>
      <c r="G64" s="25"/>
    </row>
    <row r="65" ht="15.75" customHeight="1">
      <c r="F65" s="25"/>
      <c r="G65" s="25"/>
    </row>
    <row r="66" ht="15.75" customHeight="1">
      <c r="F66" s="25"/>
      <c r="G66" s="25"/>
    </row>
    <row r="67" ht="15.75" customHeight="1">
      <c r="F67" s="25"/>
      <c r="G67" s="25"/>
    </row>
    <row r="68" ht="15.75" customHeight="1">
      <c r="F68" s="25"/>
      <c r="G68" s="25"/>
    </row>
    <row r="69" ht="15.75" customHeight="1">
      <c r="F69" s="25"/>
      <c r="G69" s="25"/>
    </row>
    <row r="70" ht="15.75" customHeight="1">
      <c r="F70" s="25"/>
      <c r="G70" s="25"/>
    </row>
    <row r="71" ht="15.75" customHeight="1">
      <c r="F71" s="25"/>
      <c r="G71" s="25"/>
    </row>
    <row r="72" ht="15.75" customHeight="1">
      <c r="F72" s="25"/>
      <c r="G72" s="25"/>
    </row>
    <row r="73" ht="15.75" customHeight="1">
      <c r="F73" s="25"/>
      <c r="G73" s="25"/>
    </row>
    <row r="74" ht="15.75" customHeight="1">
      <c r="F74" s="25"/>
      <c r="G74" s="25"/>
    </row>
    <row r="75" ht="15.75" customHeight="1">
      <c r="F75" s="25"/>
      <c r="G75" s="25"/>
    </row>
    <row r="76" ht="15.75" customHeight="1">
      <c r="F76" s="25"/>
      <c r="G76" s="25"/>
    </row>
    <row r="77" ht="15.75" customHeight="1">
      <c r="F77" s="25"/>
      <c r="G77" s="25"/>
    </row>
    <row r="78" ht="15.75" customHeight="1">
      <c r="F78" s="25"/>
      <c r="G78" s="25"/>
    </row>
    <row r="79" ht="15.75" customHeight="1">
      <c r="F79" s="25"/>
      <c r="G79" s="25"/>
    </row>
    <row r="80" ht="15.75" customHeight="1">
      <c r="F80" s="25"/>
      <c r="G80" s="25"/>
    </row>
    <row r="81" ht="15.75" customHeight="1">
      <c r="F81" s="25"/>
      <c r="G81" s="25"/>
    </row>
    <row r="82" ht="15.75" customHeight="1">
      <c r="F82" s="25"/>
      <c r="G82" s="25"/>
    </row>
    <row r="83" ht="15.75" customHeight="1">
      <c r="F83" s="25"/>
      <c r="G83" s="25"/>
    </row>
    <row r="84" ht="15.75" customHeight="1">
      <c r="F84" s="25"/>
      <c r="G84" s="25"/>
    </row>
    <row r="85" ht="15.75" customHeight="1">
      <c r="F85" s="25"/>
      <c r="G85" s="25"/>
    </row>
    <row r="86" ht="15.75" customHeight="1">
      <c r="F86" s="25"/>
      <c r="G86" s="25"/>
    </row>
    <row r="87" ht="15.75" customHeight="1">
      <c r="F87" s="25"/>
      <c r="G87" s="25"/>
    </row>
    <row r="88" ht="15.75" customHeight="1">
      <c r="F88" s="25"/>
      <c r="G88" s="25"/>
    </row>
    <row r="89" ht="15.75" customHeight="1">
      <c r="F89" s="25"/>
      <c r="G89" s="25"/>
    </row>
    <row r="90" ht="15.75" customHeight="1">
      <c r="F90" s="25"/>
      <c r="G90" s="25"/>
    </row>
    <row r="91" ht="15.75" customHeight="1">
      <c r="F91" s="25"/>
      <c r="G91" s="25"/>
    </row>
    <row r="92" ht="15.75" customHeight="1">
      <c r="F92" s="25"/>
      <c r="G92" s="25"/>
    </row>
    <row r="93" ht="15.75" customHeight="1">
      <c r="F93" s="25"/>
      <c r="G93" s="25"/>
    </row>
    <row r="94" ht="15.75" customHeight="1">
      <c r="F94" s="25"/>
      <c r="G94" s="25"/>
    </row>
    <row r="95" ht="15.75" customHeight="1">
      <c r="F95" s="25"/>
      <c r="G95" s="25"/>
    </row>
    <row r="96" ht="15.75" customHeight="1">
      <c r="F96" s="25"/>
      <c r="G96" s="25"/>
    </row>
    <row r="97" ht="15.75" customHeight="1">
      <c r="F97" s="25"/>
      <c r="G97" s="25"/>
    </row>
    <row r="98" ht="15.75" customHeight="1">
      <c r="F98" s="25"/>
      <c r="G98" s="25"/>
    </row>
    <row r="99" ht="15.75" customHeight="1">
      <c r="F99" s="25"/>
      <c r="G99" s="25"/>
    </row>
    <row r="100" ht="15.75" customHeight="1">
      <c r="F100" s="25"/>
      <c r="G100" s="25"/>
    </row>
    <row r="101" ht="15.75" customHeight="1">
      <c r="F101" s="25"/>
      <c r="G101" s="25"/>
    </row>
    <row r="102" ht="15.75" customHeight="1">
      <c r="F102" s="25"/>
      <c r="G102" s="25"/>
    </row>
    <row r="103" ht="15.75" customHeight="1">
      <c r="F103" s="25"/>
      <c r="G103" s="25"/>
    </row>
    <row r="104" ht="15.75" customHeight="1">
      <c r="F104" s="25"/>
      <c r="G104" s="25"/>
    </row>
    <row r="105" ht="15.75" customHeight="1">
      <c r="F105" s="25"/>
      <c r="G105" s="25"/>
    </row>
    <row r="106" ht="15.75" customHeight="1">
      <c r="F106" s="25"/>
      <c r="G106" s="25"/>
    </row>
    <row r="107" ht="15.75" customHeight="1">
      <c r="F107" s="25"/>
      <c r="G107" s="25"/>
    </row>
    <row r="108" ht="15.75" customHeight="1">
      <c r="F108" s="25"/>
      <c r="G108" s="25"/>
    </row>
    <row r="109" ht="15.75" customHeight="1">
      <c r="F109" s="25"/>
      <c r="G109" s="25"/>
    </row>
    <row r="110" ht="15.75" customHeight="1">
      <c r="F110" s="25"/>
      <c r="G110" s="25"/>
    </row>
    <row r="111" ht="15.75" customHeight="1">
      <c r="F111" s="25"/>
      <c r="G111" s="25"/>
    </row>
    <row r="112" ht="15.75" customHeight="1">
      <c r="F112" s="25"/>
      <c r="G112" s="25"/>
    </row>
    <row r="113" ht="15.75" customHeight="1">
      <c r="F113" s="25"/>
      <c r="G113" s="25"/>
    </row>
    <row r="114" ht="15.75" customHeight="1">
      <c r="F114" s="25"/>
      <c r="G114" s="25"/>
    </row>
    <row r="115" ht="15.75" customHeight="1">
      <c r="F115" s="25"/>
      <c r="G115" s="25"/>
    </row>
    <row r="116" ht="15.75" customHeight="1">
      <c r="F116" s="25"/>
      <c r="G116" s="25"/>
    </row>
    <row r="117" ht="15.75" customHeight="1">
      <c r="F117" s="25"/>
      <c r="G117" s="25"/>
    </row>
    <row r="118" ht="15.75" customHeight="1">
      <c r="F118" s="25"/>
      <c r="G118" s="25"/>
    </row>
    <row r="119" ht="15.75" customHeight="1">
      <c r="F119" s="25"/>
      <c r="G119" s="25"/>
    </row>
    <row r="120" ht="15.75" customHeight="1">
      <c r="F120" s="25"/>
      <c r="G120" s="25"/>
    </row>
    <row r="121" ht="15.75" customHeight="1">
      <c r="F121" s="25"/>
      <c r="G121" s="25"/>
    </row>
    <row r="122" ht="15.75" customHeight="1">
      <c r="F122" s="25"/>
      <c r="G122" s="25"/>
    </row>
    <row r="123" ht="15.75" customHeight="1">
      <c r="F123" s="25"/>
      <c r="G123" s="25"/>
    </row>
    <row r="124" ht="15.75" customHeight="1">
      <c r="F124" s="25"/>
      <c r="G124" s="25"/>
    </row>
    <row r="125" ht="15.75" customHeight="1">
      <c r="F125" s="25"/>
      <c r="G125" s="25"/>
    </row>
    <row r="126" ht="15.75" customHeight="1">
      <c r="F126" s="25"/>
      <c r="G126" s="25"/>
    </row>
    <row r="127" ht="15.75" customHeight="1">
      <c r="F127" s="25"/>
      <c r="G127" s="25"/>
    </row>
    <row r="128" ht="15.75" customHeight="1">
      <c r="F128" s="25"/>
      <c r="G128" s="25"/>
    </row>
    <row r="129" ht="15.75" customHeight="1">
      <c r="F129" s="25"/>
      <c r="G129" s="25"/>
    </row>
    <row r="130" ht="15.75" customHeight="1">
      <c r="F130" s="25"/>
      <c r="G130" s="25"/>
    </row>
    <row r="131" ht="15.75" customHeight="1">
      <c r="F131" s="25"/>
      <c r="G131" s="25"/>
    </row>
    <row r="132" ht="15.75" customHeight="1">
      <c r="F132" s="25"/>
      <c r="G132" s="25"/>
    </row>
    <row r="133" ht="15.75" customHeight="1">
      <c r="F133" s="25"/>
      <c r="G133" s="25"/>
    </row>
    <row r="134" ht="15.75" customHeight="1">
      <c r="F134" s="25"/>
      <c r="G134" s="25"/>
    </row>
    <row r="135" ht="15.75" customHeight="1">
      <c r="F135" s="25"/>
      <c r="G135" s="25"/>
    </row>
    <row r="136" ht="15.75" customHeight="1">
      <c r="F136" s="25"/>
      <c r="G136" s="25"/>
    </row>
    <row r="137" ht="15.75" customHeight="1">
      <c r="F137" s="25"/>
      <c r="G137" s="25"/>
    </row>
    <row r="138" ht="15.75" customHeight="1">
      <c r="F138" s="25"/>
      <c r="G138" s="25"/>
    </row>
    <row r="139" ht="15.75" customHeight="1">
      <c r="F139" s="25"/>
      <c r="G139" s="25"/>
    </row>
    <row r="140" ht="15.75" customHeight="1">
      <c r="F140" s="25"/>
      <c r="G140" s="25"/>
    </row>
    <row r="141" ht="15.75" customHeight="1">
      <c r="F141" s="25"/>
      <c r="G141" s="25"/>
    </row>
    <row r="142" ht="15.75" customHeight="1">
      <c r="F142" s="25"/>
      <c r="G142" s="25"/>
    </row>
    <row r="143" ht="15.75" customHeight="1">
      <c r="F143" s="25"/>
      <c r="G143" s="25"/>
    </row>
    <row r="144" ht="15.75" customHeight="1">
      <c r="F144" s="25"/>
      <c r="G144" s="25"/>
    </row>
    <row r="145" ht="15.75" customHeight="1">
      <c r="F145" s="25"/>
      <c r="G145" s="25"/>
    </row>
    <row r="146" ht="15.75" customHeight="1">
      <c r="F146" s="25"/>
      <c r="G146" s="25"/>
    </row>
    <row r="147" ht="15.75" customHeight="1">
      <c r="F147" s="25"/>
      <c r="G147" s="25"/>
    </row>
    <row r="148" ht="15.75" customHeight="1">
      <c r="F148" s="25"/>
      <c r="G148" s="25"/>
    </row>
    <row r="149" ht="15.75" customHeight="1">
      <c r="F149" s="25"/>
      <c r="G149" s="25"/>
    </row>
    <row r="150" ht="15.75" customHeight="1">
      <c r="F150" s="25"/>
      <c r="G150" s="25"/>
    </row>
    <row r="151" ht="15.75" customHeight="1">
      <c r="F151" s="25"/>
      <c r="G151" s="25"/>
    </row>
    <row r="152" ht="15.75" customHeight="1">
      <c r="F152" s="25"/>
      <c r="G152" s="25"/>
    </row>
    <row r="153" ht="15.75" customHeight="1">
      <c r="F153" s="25"/>
      <c r="G153" s="25"/>
    </row>
    <row r="154" ht="15.75" customHeight="1">
      <c r="F154" s="25"/>
      <c r="G154" s="25"/>
    </row>
    <row r="155" ht="15.75" customHeight="1">
      <c r="F155" s="25"/>
      <c r="G155" s="25"/>
    </row>
    <row r="156" ht="15.75" customHeight="1">
      <c r="F156" s="25"/>
      <c r="G156" s="25"/>
    </row>
    <row r="157" ht="15.75" customHeight="1">
      <c r="F157" s="25"/>
      <c r="G157" s="25"/>
    </row>
    <row r="158" ht="15.75" customHeight="1">
      <c r="F158" s="25"/>
      <c r="G158" s="25"/>
    </row>
    <row r="159" ht="15.75" customHeight="1">
      <c r="F159" s="25"/>
      <c r="G159" s="25"/>
    </row>
    <row r="160" ht="15.75" customHeight="1">
      <c r="F160" s="25"/>
      <c r="G160" s="25"/>
    </row>
    <row r="161" ht="15.75" customHeight="1">
      <c r="F161" s="25"/>
      <c r="G161" s="25"/>
    </row>
    <row r="162" ht="15.75" customHeight="1">
      <c r="F162" s="25"/>
      <c r="G162" s="25"/>
    </row>
    <row r="163" ht="15.75" customHeight="1">
      <c r="F163" s="25"/>
      <c r="G163" s="25"/>
    </row>
    <row r="164" ht="15.75" customHeight="1">
      <c r="F164" s="25"/>
      <c r="G164" s="25"/>
    </row>
    <row r="165" ht="15.75" customHeight="1">
      <c r="F165" s="25"/>
      <c r="G165" s="25"/>
    </row>
    <row r="166" ht="15.75" customHeight="1">
      <c r="F166" s="25"/>
      <c r="G166" s="25"/>
    </row>
    <row r="167" ht="15.75" customHeight="1">
      <c r="F167" s="25"/>
      <c r="G167" s="25"/>
    </row>
    <row r="168" ht="15.75" customHeight="1">
      <c r="F168" s="25"/>
      <c r="G168" s="25"/>
    </row>
    <row r="169" ht="15.75" customHeight="1">
      <c r="F169" s="25"/>
      <c r="G169" s="25"/>
    </row>
    <row r="170" ht="15.75" customHeight="1">
      <c r="F170" s="25"/>
      <c r="G170" s="25"/>
    </row>
    <row r="171" ht="15.75" customHeight="1">
      <c r="F171" s="25"/>
      <c r="G171" s="25"/>
    </row>
    <row r="172" ht="15.75" customHeight="1">
      <c r="F172" s="25"/>
      <c r="G172" s="25"/>
    </row>
    <row r="173" ht="15.75" customHeight="1">
      <c r="F173" s="25"/>
      <c r="G173" s="25"/>
    </row>
    <row r="174" ht="15.75" customHeight="1">
      <c r="F174" s="25"/>
      <c r="G174" s="25"/>
    </row>
    <row r="175" ht="15.75" customHeight="1">
      <c r="F175" s="25"/>
      <c r="G175" s="25"/>
    </row>
    <row r="176" ht="15.75" customHeight="1">
      <c r="F176" s="25"/>
      <c r="G176" s="25"/>
    </row>
    <row r="177" ht="15.75" customHeight="1">
      <c r="F177" s="25"/>
      <c r="G177" s="25"/>
    </row>
    <row r="178" ht="15.75" customHeight="1">
      <c r="F178" s="25"/>
      <c r="G178" s="25"/>
    </row>
    <row r="179" ht="15.75" customHeight="1">
      <c r="F179" s="25"/>
      <c r="G179" s="25"/>
    </row>
    <row r="180" ht="15.75" customHeight="1">
      <c r="F180" s="25"/>
      <c r="G180" s="25"/>
    </row>
    <row r="181" ht="15.75" customHeight="1">
      <c r="F181" s="25"/>
      <c r="G181" s="25"/>
    </row>
    <row r="182" ht="15.75" customHeight="1">
      <c r="F182" s="25"/>
      <c r="G182" s="25"/>
    </row>
    <row r="183" ht="15.75" customHeight="1">
      <c r="F183" s="25"/>
      <c r="G183" s="25"/>
    </row>
    <row r="184" ht="15.75" customHeight="1">
      <c r="F184" s="25"/>
      <c r="G184" s="25"/>
    </row>
    <row r="185" ht="15.75" customHeight="1">
      <c r="F185" s="25"/>
      <c r="G185" s="25"/>
    </row>
    <row r="186" ht="15.75" customHeight="1">
      <c r="F186" s="25"/>
      <c r="G186" s="25"/>
    </row>
    <row r="187" ht="15.75" customHeight="1">
      <c r="F187" s="25"/>
      <c r="G187" s="25"/>
    </row>
    <row r="188" ht="15.75" customHeight="1">
      <c r="F188" s="25"/>
      <c r="G188" s="25"/>
    </row>
    <row r="189" ht="15.75" customHeight="1">
      <c r="F189" s="25"/>
      <c r="G189" s="25"/>
    </row>
    <row r="190" ht="15.75" customHeight="1">
      <c r="F190" s="25"/>
      <c r="G190" s="25"/>
    </row>
    <row r="191" ht="15.75" customHeight="1">
      <c r="F191" s="25"/>
      <c r="G191" s="25"/>
    </row>
    <row r="192" ht="15.75" customHeight="1">
      <c r="F192" s="25"/>
      <c r="G192" s="25"/>
    </row>
    <row r="193" ht="15.75" customHeight="1">
      <c r="F193" s="25"/>
      <c r="G193" s="25"/>
    </row>
    <row r="194" ht="15.75" customHeight="1">
      <c r="F194" s="25"/>
      <c r="G194" s="25"/>
    </row>
    <row r="195" ht="15.75" customHeight="1">
      <c r="F195" s="25"/>
      <c r="G195" s="25"/>
    </row>
    <row r="196" ht="15.75" customHeight="1">
      <c r="F196" s="25"/>
      <c r="G196" s="25"/>
    </row>
    <row r="197" ht="15.75" customHeight="1">
      <c r="F197" s="25"/>
      <c r="G197" s="25"/>
    </row>
    <row r="198" ht="15.75" customHeight="1">
      <c r="F198" s="25"/>
      <c r="G198" s="25"/>
    </row>
    <row r="199" ht="15.75" customHeight="1">
      <c r="F199" s="25"/>
      <c r="G199" s="25"/>
    </row>
    <row r="200" ht="15.75" customHeight="1">
      <c r="F200" s="25"/>
      <c r="G200" s="25"/>
    </row>
    <row r="201" ht="15.75" customHeight="1">
      <c r="F201" s="25"/>
      <c r="G201" s="25"/>
    </row>
    <row r="202" ht="15.75" customHeight="1">
      <c r="F202" s="25"/>
      <c r="G202" s="25"/>
    </row>
    <row r="203" ht="15.75" customHeight="1">
      <c r="F203" s="25"/>
      <c r="G203" s="25"/>
    </row>
    <row r="204" ht="15.75" customHeight="1">
      <c r="F204" s="25"/>
      <c r="G204" s="25"/>
    </row>
    <row r="205" ht="15.75" customHeight="1">
      <c r="F205" s="25"/>
      <c r="G205" s="25"/>
    </row>
    <row r="206" ht="15.75" customHeight="1">
      <c r="F206" s="25"/>
      <c r="G206" s="25"/>
    </row>
    <row r="207" ht="15.75" customHeight="1">
      <c r="F207" s="25"/>
      <c r="G207" s="25"/>
    </row>
    <row r="208" ht="15.75" customHeight="1">
      <c r="F208" s="25"/>
      <c r="G208" s="25"/>
    </row>
    <row r="209" ht="15.75" customHeight="1">
      <c r="F209" s="25"/>
      <c r="G209" s="25"/>
    </row>
    <row r="210" ht="15.75" customHeight="1">
      <c r="F210" s="25"/>
      <c r="G210" s="25"/>
    </row>
    <row r="211" ht="15.75" customHeight="1">
      <c r="F211" s="25"/>
      <c r="G211" s="25"/>
    </row>
    <row r="212" ht="15.75" customHeight="1">
      <c r="F212" s="25"/>
      <c r="G212" s="25"/>
    </row>
    <row r="213" ht="15.75" customHeight="1">
      <c r="F213" s="25"/>
      <c r="G213" s="25"/>
    </row>
    <row r="214" ht="15.75" customHeight="1">
      <c r="F214" s="25"/>
      <c r="G214" s="25"/>
    </row>
    <row r="215" ht="15.75" customHeight="1">
      <c r="F215" s="25"/>
      <c r="G215" s="25"/>
    </row>
    <row r="216" ht="15.75" customHeight="1">
      <c r="F216" s="25"/>
      <c r="G216" s="25"/>
    </row>
    <row r="217" ht="15.75" customHeight="1">
      <c r="F217" s="25"/>
      <c r="G217" s="25"/>
    </row>
    <row r="218" ht="15.75" customHeight="1">
      <c r="F218" s="25"/>
      <c r="G218" s="25"/>
    </row>
    <row r="219" ht="15.75" customHeight="1">
      <c r="F219" s="25"/>
      <c r="G219" s="25"/>
    </row>
    <row r="220" ht="15.75" customHeight="1">
      <c r="F220" s="25"/>
      <c r="G220" s="25"/>
    </row>
    <row r="221" ht="15.75" customHeight="1">
      <c r="F221" s="25"/>
      <c r="G221" s="25"/>
    </row>
    <row r="222" ht="15.75" customHeight="1">
      <c r="F222" s="25"/>
      <c r="G222" s="25"/>
    </row>
    <row r="223" ht="15.75" customHeight="1">
      <c r="F223" s="25"/>
      <c r="G223" s="25"/>
    </row>
    <row r="224" ht="15.75" customHeight="1">
      <c r="F224" s="25"/>
      <c r="G224" s="25"/>
    </row>
    <row r="225" ht="15.75" customHeight="1">
      <c r="F225" s="25"/>
      <c r="G225" s="25"/>
    </row>
    <row r="226" ht="15.75" customHeight="1">
      <c r="F226" s="25"/>
      <c r="G226" s="25"/>
    </row>
    <row r="227" ht="15.75" customHeight="1">
      <c r="F227" s="25"/>
      <c r="G227" s="25"/>
    </row>
    <row r="228" ht="15.75" customHeight="1">
      <c r="F228" s="25"/>
      <c r="G228" s="25"/>
    </row>
    <row r="229" ht="15.75" customHeight="1">
      <c r="F229" s="25"/>
      <c r="G229" s="25"/>
    </row>
    <row r="230" ht="15.75" customHeight="1">
      <c r="F230" s="25"/>
      <c r="G230" s="25"/>
    </row>
    <row r="231" ht="15.75" customHeight="1">
      <c r="F231" s="25"/>
      <c r="G231" s="25"/>
    </row>
    <row r="232" ht="15.75" customHeight="1">
      <c r="F232" s="25"/>
      <c r="G232" s="25"/>
    </row>
    <row r="233" ht="15.75" customHeight="1">
      <c r="F233" s="25"/>
      <c r="G233" s="25"/>
    </row>
    <row r="234" ht="15.75" customHeight="1">
      <c r="F234" s="25"/>
      <c r="G234" s="25"/>
    </row>
    <row r="235" ht="15.75" customHeight="1">
      <c r="F235" s="25"/>
      <c r="G235" s="25"/>
    </row>
    <row r="236" ht="15.75" customHeight="1">
      <c r="F236" s="25"/>
      <c r="G236" s="25"/>
    </row>
    <row r="237" ht="15.75" customHeight="1">
      <c r="F237" s="25"/>
      <c r="G237" s="25"/>
    </row>
    <row r="238" ht="15.75" customHeight="1">
      <c r="F238" s="25"/>
      <c r="G238" s="25"/>
    </row>
    <row r="239" ht="15.75" customHeight="1">
      <c r="F239" s="25"/>
      <c r="G239" s="25"/>
    </row>
    <row r="240" ht="15.75" customHeight="1">
      <c r="F240" s="25"/>
      <c r="G240" s="25"/>
    </row>
    <row r="241" ht="15.75" customHeight="1">
      <c r="F241" s="25"/>
      <c r="G241" s="25"/>
    </row>
    <row r="242" ht="15.75" customHeight="1">
      <c r="F242" s="25"/>
      <c r="G242" s="25"/>
    </row>
    <row r="243" ht="15.75" customHeight="1">
      <c r="F243" s="25"/>
      <c r="G243" s="25"/>
    </row>
    <row r="244" ht="15.75" customHeight="1">
      <c r="F244" s="25"/>
      <c r="G244" s="25"/>
    </row>
    <row r="245" ht="15.75" customHeight="1">
      <c r="F245" s="25"/>
      <c r="G245" s="25"/>
    </row>
    <row r="246" ht="15.75" customHeight="1">
      <c r="F246" s="25"/>
      <c r="G246" s="25"/>
    </row>
    <row r="247" ht="15.75" customHeight="1">
      <c r="F247" s="25"/>
      <c r="G247" s="25"/>
    </row>
    <row r="248" ht="15.75" customHeight="1">
      <c r="F248" s="25"/>
      <c r="G248" s="25"/>
    </row>
    <row r="249" ht="15.75" customHeight="1">
      <c r="F249" s="25"/>
      <c r="G249" s="25"/>
    </row>
    <row r="250" ht="15.75" customHeight="1">
      <c r="F250" s="25"/>
      <c r="G250" s="25"/>
    </row>
    <row r="251" ht="15.75" customHeight="1">
      <c r="F251" s="25"/>
      <c r="G251" s="25"/>
    </row>
    <row r="252" ht="15.75" customHeight="1">
      <c r="F252" s="25"/>
      <c r="G252" s="25"/>
    </row>
    <row r="253" ht="15.75" customHeight="1">
      <c r="F253" s="25"/>
      <c r="G253" s="25"/>
    </row>
    <row r="254" ht="15.75" customHeight="1">
      <c r="F254" s="25"/>
      <c r="G254" s="25"/>
    </row>
    <row r="255" ht="15.75" customHeight="1">
      <c r="F255" s="25"/>
      <c r="G255" s="25"/>
    </row>
    <row r="256" ht="15.75" customHeight="1">
      <c r="F256" s="25"/>
      <c r="G256" s="25"/>
    </row>
    <row r="257" ht="15.75" customHeight="1">
      <c r="F257" s="25"/>
      <c r="G257" s="25"/>
    </row>
    <row r="258" ht="15.75" customHeight="1">
      <c r="F258" s="25"/>
      <c r="G258" s="25"/>
    </row>
    <row r="259" ht="15.75" customHeight="1">
      <c r="F259" s="25"/>
      <c r="G259" s="25"/>
    </row>
    <row r="260" ht="15.75" customHeight="1">
      <c r="F260" s="25"/>
      <c r="G260" s="25"/>
    </row>
    <row r="261" ht="15.75" customHeight="1">
      <c r="F261" s="25"/>
      <c r="G261" s="25"/>
    </row>
    <row r="262" ht="15.75" customHeight="1">
      <c r="F262" s="25"/>
      <c r="G262" s="25"/>
    </row>
    <row r="263" ht="15.75" customHeight="1">
      <c r="F263" s="25"/>
      <c r="G263" s="25"/>
    </row>
    <row r="264" ht="15.75" customHeight="1">
      <c r="F264" s="25"/>
      <c r="G264" s="25"/>
    </row>
    <row r="265" ht="15.75" customHeight="1">
      <c r="F265" s="25"/>
      <c r="G265" s="25"/>
    </row>
    <row r="266" ht="15.75" customHeight="1">
      <c r="F266" s="25"/>
      <c r="G266" s="25"/>
    </row>
    <row r="267" ht="15.75" customHeight="1">
      <c r="F267" s="25"/>
      <c r="G267" s="25"/>
    </row>
    <row r="268" ht="15.75" customHeight="1">
      <c r="F268" s="25"/>
      <c r="G268" s="25"/>
    </row>
    <row r="269" ht="15.75" customHeight="1">
      <c r="F269" s="25"/>
      <c r="G269" s="25"/>
    </row>
    <row r="270" ht="15.75" customHeight="1">
      <c r="F270" s="25"/>
      <c r="G270" s="25"/>
    </row>
    <row r="271" ht="15.75" customHeight="1">
      <c r="F271" s="25"/>
      <c r="G271" s="25"/>
    </row>
    <row r="272" ht="15.75" customHeight="1">
      <c r="F272" s="25"/>
      <c r="G272" s="25"/>
    </row>
    <row r="273" ht="15.75" customHeight="1">
      <c r="F273" s="25"/>
      <c r="G273" s="25"/>
    </row>
    <row r="274" ht="15.75" customHeight="1">
      <c r="F274" s="25"/>
      <c r="G274" s="25"/>
    </row>
    <row r="275" ht="15.75" customHeight="1">
      <c r="F275" s="25"/>
      <c r="G275" s="25"/>
    </row>
    <row r="276" ht="15.75" customHeight="1">
      <c r="F276" s="25"/>
      <c r="G276" s="25"/>
    </row>
    <row r="277" ht="15.75" customHeight="1">
      <c r="F277" s="25"/>
      <c r="G277" s="25"/>
    </row>
    <row r="278" ht="15.75" customHeight="1">
      <c r="F278" s="25"/>
      <c r="G278" s="25"/>
    </row>
    <row r="279" ht="15.75" customHeight="1">
      <c r="F279" s="25"/>
      <c r="G279" s="25"/>
    </row>
    <row r="280" ht="15.75" customHeight="1">
      <c r="F280" s="25"/>
      <c r="G280" s="25"/>
    </row>
    <row r="281" ht="15.75" customHeight="1">
      <c r="F281" s="25"/>
      <c r="G281" s="25"/>
    </row>
    <row r="282" ht="15.75" customHeight="1">
      <c r="F282" s="25"/>
      <c r="G282" s="25"/>
    </row>
    <row r="283" ht="15.75" customHeight="1">
      <c r="F283" s="25"/>
      <c r="G283" s="25"/>
    </row>
    <row r="284" ht="15.75" customHeight="1">
      <c r="F284" s="25"/>
      <c r="G284" s="25"/>
    </row>
    <row r="285" ht="15.75" customHeight="1">
      <c r="F285" s="25"/>
      <c r="G285" s="25"/>
    </row>
    <row r="286" ht="15.75" customHeight="1">
      <c r="F286" s="25"/>
      <c r="G286" s="25"/>
    </row>
    <row r="287" ht="15.75" customHeight="1">
      <c r="F287" s="25"/>
      <c r="G287" s="25"/>
    </row>
    <row r="288" ht="15.75" customHeight="1">
      <c r="F288" s="25"/>
      <c r="G288" s="25"/>
    </row>
    <row r="289" ht="15.75" customHeight="1">
      <c r="F289" s="25"/>
      <c r="G289" s="25"/>
    </row>
    <row r="290" ht="15.75" customHeight="1">
      <c r="F290" s="25"/>
      <c r="G290" s="25"/>
    </row>
    <row r="291" ht="15.75" customHeight="1">
      <c r="F291" s="25"/>
      <c r="G291" s="25"/>
    </row>
    <row r="292" ht="15.75" customHeight="1">
      <c r="F292" s="25"/>
      <c r="G292" s="25"/>
    </row>
    <row r="293" ht="15.75" customHeight="1">
      <c r="F293" s="25"/>
      <c r="G293" s="25"/>
    </row>
    <row r="294" ht="15.75" customHeight="1">
      <c r="F294" s="25"/>
      <c r="G294" s="25"/>
    </row>
    <row r="295" ht="15.75" customHeight="1">
      <c r="F295" s="25"/>
      <c r="G295" s="25"/>
    </row>
    <row r="296" ht="15.75" customHeight="1">
      <c r="F296" s="25"/>
      <c r="G296" s="25"/>
    </row>
    <row r="297" ht="15.75" customHeight="1">
      <c r="F297" s="25"/>
      <c r="G297" s="25"/>
    </row>
    <row r="298" ht="15.75" customHeight="1">
      <c r="F298" s="25"/>
      <c r="G298" s="25"/>
    </row>
    <row r="299" ht="15.75" customHeight="1">
      <c r="F299" s="25"/>
      <c r="G299" s="25"/>
    </row>
    <row r="300" ht="15.75" customHeight="1">
      <c r="F300" s="25"/>
      <c r="G300" s="25"/>
    </row>
    <row r="301" ht="15.75" customHeight="1">
      <c r="F301" s="25"/>
      <c r="G301" s="25"/>
    </row>
    <row r="302" ht="15.75" customHeight="1">
      <c r="F302" s="25"/>
      <c r="G302" s="25"/>
    </row>
    <row r="303" ht="15.75" customHeight="1">
      <c r="F303" s="25"/>
      <c r="G303" s="25"/>
    </row>
    <row r="304" ht="15.75" customHeight="1">
      <c r="F304" s="25"/>
      <c r="G304" s="25"/>
    </row>
    <row r="305" ht="15.75" customHeight="1">
      <c r="F305" s="25"/>
      <c r="G305" s="25"/>
    </row>
    <row r="306" ht="15.75" customHeight="1">
      <c r="F306" s="25"/>
      <c r="G306" s="25"/>
    </row>
    <row r="307" ht="15.75" customHeight="1">
      <c r="F307" s="25"/>
      <c r="G307" s="25"/>
    </row>
    <row r="308" ht="15.75" customHeight="1">
      <c r="F308" s="25"/>
      <c r="G308" s="25"/>
    </row>
    <row r="309" ht="15.75" customHeight="1">
      <c r="F309" s="25"/>
      <c r="G309" s="25"/>
    </row>
    <row r="310" ht="15.75" customHeight="1">
      <c r="F310" s="25"/>
      <c r="G310" s="25"/>
    </row>
    <row r="311" ht="15.75" customHeight="1">
      <c r="F311" s="25"/>
      <c r="G311" s="25"/>
    </row>
    <row r="312" ht="15.75" customHeight="1">
      <c r="F312" s="25"/>
      <c r="G312" s="25"/>
    </row>
    <row r="313" ht="15.75" customHeight="1">
      <c r="F313" s="25"/>
      <c r="G313" s="25"/>
    </row>
    <row r="314" ht="15.75" customHeight="1">
      <c r="F314" s="25"/>
      <c r="G314" s="25"/>
    </row>
    <row r="315" ht="15.75" customHeight="1">
      <c r="F315" s="25"/>
      <c r="G315" s="25"/>
    </row>
    <row r="316" ht="15.75" customHeight="1">
      <c r="F316" s="25"/>
      <c r="G316" s="25"/>
    </row>
    <row r="317" ht="15.75" customHeight="1">
      <c r="F317" s="25"/>
      <c r="G317" s="25"/>
    </row>
    <row r="318" ht="15.75" customHeight="1">
      <c r="F318" s="25"/>
      <c r="G318" s="25"/>
    </row>
    <row r="319" ht="15.75" customHeight="1">
      <c r="F319" s="25"/>
      <c r="G319" s="25"/>
    </row>
    <row r="320" ht="15.75" customHeight="1">
      <c r="F320" s="25"/>
      <c r="G320" s="25"/>
    </row>
    <row r="321" ht="15.75" customHeight="1">
      <c r="F321" s="25"/>
      <c r="G321" s="25"/>
    </row>
    <row r="322" ht="15.75" customHeight="1">
      <c r="F322" s="25"/>
      <c r="G322" s="25"/>
    </row>
    <row r="323" ht="15.75" customHeight="1">
      <c r="F323" s="25"/>
      <c r="G323" s="25"/>
    </row>
    <row r="324" ht="15.75" customHeight="1">
      <c r="F324" s="25"/>
      <c r="G324" s="25"/>
    </row>
    <row r="325" ht="15.75" customHeight="1">
      <c r="F325" s="25"/>
      <c r="G325" s="25"/>
    </row>
    <row r="326" ht="15.75" customHeight="1">
      <c r="F326" s="25"/>
      <c r="G326" s="25"/>
    </row>
    <row r="327" ht="15.75" customHeight="1">
      <c r="F327" s="25"/>
      <c r="G327" s="25"/>
    </row>
    <row r="328" ht="15.75" customHeight="1">
      <c r="F328" s="25"/>
      <c r="G328" s="25"/>
    </row>
    <row r="329" ht="15.75" customHeight="1">
      <c r="F329" s="25"/>
      <c r="G329" s="25"/>
    </row>
    <row r="330" ht="15.75" customHeight="1">
      <c r="F330" s="25"/>
      <c r="G330" s="25"/>
    </row>
    <row r="331" ht="15.75" customHeight="1">
      <c r="F331" s="25"/>
      <c r="G331" s="25"/>
    </row>
    <row r="332" ht="15.75" customHeight="1">
      <c r="F332" s="25"/>
      <c r="G332" s="25"/>
    </row>
    <row r="333" ht="15.75" customHeight="1">
      <c r="F333" s="25"/>
      <c r="G333" s="25"/>
    </row>
    <row r="334" ht="15.75" customHeight="1">
      <c r="F334" s="25"/>
      <c r="G334" s="25"/>
    </row>
    <row r="335" ht="15.75" customHeight="1">
      <c r="F335" s="25"/>
      <c r="G335" s="25"/>
    </row>
    <row r="336" ht="15.75" customHeight="1">
      <c r="F336" s="25"/>
      <c r="G336" s="25"/>
    </row>
    <row r="337" ht="15.75" customHeight="1">
      <c r="F337" s="25"/>
      <c r="G337" s="25"/>
    </row>
    <row r="338" ht="15.75" customHeight="1">
      <c r="F338" s="25"/>
      <c r="G338" s="25"/>
    </row>
    <row r="339" ht="15.75" customHeight="1">
      <c r="F339" s="25"/>
      <c r="G339" s="25"/>
    </row>
    <row r="340" ht="15.75" customHeight="1">
      <c r="F340" s="25"/>
      <c r="G340" s="25"/>
    </row>
    <row r="341" ht="15.75" customHeight="1">
      <c r="F341" s="25"/>
      <c r="G341" s="25"/>
    </row>
    <row r="342" ht="15.75" customHeight="1">
      <c r="F342" s="25"/>
      <c r="G342" s="25"/>
    </row>
    <row r="343" ht="15.75" customHeight="1">
      <c r="F343" s="25"/>
      <c r="G343" s="25"/>
    </row>
    <row r="344" ht="15.75" customHeight="1">
      <c r="F344" s="25"/>
      <c r="G344" s="25"/>
    </row>
    <row r="345" ht="15.75" customHeight="1">
      <c r="F345" s="25"/>
      <c r="G345" s="25"/>
    </row>
    <row r="346" ht="15.75" customHeight="1">
      <c r="F346" s="25"/>
      <c r="G346" s="25"/>
    </row>
    <row r="347" ht="15.75" customHeight="1">
      <c r="F347" s="25"/>
      <c r="G347" s="25"/>
    </row>
    <row r="348" ht="15.75" customHeight="1">
      <c r="F348" s="25"/>
      <c r="G348" s="25"/>
    </row>
    <row r="349" ht="15.75" customHeight="1">
      <c r="F349" s="25"/>
      <c r="G349" s="25"/>
    </row>
    <row r="350" ht="15.75" customHeight="1">
      <c r="F350" s="25"/>
      <c r="G350" s="25"/>
    </row>
    <row r="351" ht="15.75" customHeight="1">
      <c r="F351" s="25"/>
      <c r="G351" s="25"/>
    </row>
    <row r="352" ht="15.75" customHeight="1">
      <c r="F352" s="25"/>
      <c r="G352" s="25"/>
    </row>
    <row r="353" ht="15.75" customHeight="1">
      <c r="F353" s="25"/>
      <c r="G353" s="25"/>
    </row>
    <row r="354" ht="15.75" customHeight="1">
      <c r="F354" s="25"/>
      <c r="G354" s="25"/>
    </row>
    <row r="355" ht="15.75" customHeight="1">
      <c r="F355" s="25"/>
      <c r="G355" s="25"/>
    </row>
    <row r="356" ht="15.75" customHeight="1">
      <c r="F356" s="25"/>
      <c r="G356" s="25"/>
    </row>
    <row r="357" ht="15.75" customHeight="1">
      <c r="F357" s="25"/>
      <c r="G357" s="25"/>
    </row>
    <row r="358" ht="15.75" customHeight="1">
      <c r="F358" s="25"/>
      <c r="G358" s="25"/>
    </row>
    <row r="359" ht="15.75" customHeight="1">
      <c r="F359" s="25"/>
      <c r="G359" s="25"/>
    </row>
    <row r="360" ht="15.75" customHeight="1">
      <c r="F360" s="25"/>
      <c r="G360" s="25"/>
    </row>
    <row r="361" ht="15.75" customHeight="1">
      <c r="F361" s="25"/>
      <c r="G361" s="25"/>
    </row>
    <row r="362" ht="15.75" customHeight="1">
      <c r="F362" s="25"/>
      <c r="G362" s="25"/>
    </row>
    <row r="363" ht="15.75" customHeight="1">
      <c r="F363" s="25"/>
      <c r="G363" s="25"/>
    </row>
    <row r="364" ht="15.75" customHeight="1">
      <c r="F364" s="25"/>
      <c r="G364" s="25"/>
    </row>
    <row r="365" ht="15.75" customHeight="1">
      <c r="F365" s="25"/>
      <c r="G365" s="25"/>
    </row>
    <row r="366" ht="15.75" customHeight="1">
      <c r="F366" s="25"/>
      <c r="G366" s="25"/>
    </row>
    <row r="367" ht="15.75" customHeight="1">
      <c r="F367" s="25"/>
      <c r="G367" s="25"/>
    </row>
    <row r="368" ht="15.75" customHeight="1">
      <c r="F368" s="25"/>
      <c r="G368" s="25"/>
    </row>
    <row r="369" ht="15.75" customHeight="1">
      <c r="F369" s="25"/>
      <c r="G369" s="25"/>
    </row>
    <row r="370" ht="15.75" customHeight="1">
      <c r="F370" s="25"/>
      <c r="G370" s="25"/>
    </row>
    <row r="371" ht="15.75" customHeight="1">
      <c r="F371" s="25"/>
      <c r="G371" s="25"/>
    </row>
    <row r="372" ht="15.75" customHeight="1">
      <c r="F372" s="25"/>
      <c r="G372" s="25"/>
    </row>
    <row r="373" ht="15.75" customHeight="1">
      <c r="F373" s="25"/>
      <c r="G373" s="25"/>
    </row>
    <row r="374" ht="15.75" customHeight="1">
      <c r="F374" s="25"/>
      <c r="G374" s="25"/>
    </row>
    <row r="375" ht="15.75" customHeight="1">
      <c r="F375" s="25"/>
      <c r="G375" s="25"/>
    </row>
    <row r="376" ht="15.75" customHeight="1">
      <c r="F376" s="25"/>
      <c r="G376" s="25"/>
    </row>
    <row r="377" ht="15.75" customHeight="1">
      <c r="F377" s="25"/>
      <c r="G377" s="25"/>
    </row>
    <row r="378" ht="15.75" customHeight="1">
      <c r="F378" s="25"/>
      <c r="G378" s="25"/>
    </row>
    <row r="379" ht="15.75" customHeight="1">
      <c r="F379" s="25"/>
      <c r="G379" s="25"/>
    </row>
    <row r="380" ht="15.75" customHeight="1">
      <c r="F380" s="25"/>
      <c r="G380" s="25"/>
    </row>
    <row r="381" ht="15.75" customHeight="1">
      <c r="F381" s="25"/>
      <c r="G381" s="25"/>
    </row>
    <row r="382" ht="15.75" customHeight="1">
      <c r="F382" s="25"/>
      <c r="G382" s="25"/>
    </row>
    <row r="383" ht="15.75" customHeight="1">
      <c r="F383" s="25"/>
      <c r="G383" s="25"/>
    </row>
    <row r="384" ht="15.75" customHeight="1">
      <c r="F384" s="25"/>
      <c r="G384" s="25"/>
    </row>
    <row r="385" ht="15.75" customHeight="1">
      <c r="F385" s="25"/>
      <c r="G385" s="25"/>
    </row>
    <row r="386" ht="15.75" customHeight="1">
      <c r="F386" s="25"/>
      <c r="G386" s="25"/>
    </row>
    <row r="387" ht="15.75" customHeight="1">
      <c r="F387" s="25"/>
      <c r="G387" s="25"/>
    </row>
    <row r="388" ht="15.75" customHeight="1">
      <c r="F388" s="25"/>
      <c r="G388" s="25"/>
    </row>
    <row r="389" ht="15.75" customHeight="1">
      <c r="F389" s="25"/>
      <c r="G389" s="25"/>
    </row>
    <row r="390" ht="15.75" customHeight="1">
      <c r="F390" s="25"/>
      <c r="G390" s="25"/>
    </row>
    <row r="391" ht="15.75" customHeight="1">
      <c r="F391" s="25"/>
      <c r="G391" s="25"/>
    </row>
    <row r="392" ht="15.75" customHeight="1">
      <c r="F392" s="25"/>
      <c r="G392" s="25"/>
    </row>
    <row r="393" ht="15.75" customHeight="1">
      <c r="F393" s="25"/>
      <c r="G393" s="25"/>
    </row>
    <row r="394" ht="15.75" customHeight="1">
      <c r="F394" s="25"/>
      <c r="G394" s="25"/>
    </row>
    <row r="395" ht="15.75" customHeight="1">
      <c r="F395" s="25"/>
      <c r="G395" s="25"/>
    </row>
    <row r="396" ht="15.75" customHeight="1">
      <c r="F396" s="25"/>
      <c r="G396" s="25"/>
    </row>
    <row r="397" ht="15.75" customHeight="1">
      <c r="F397" s="25"/>
      <c r="G397" s="25"/>
    </row>
    <row r="398" ht="15.75" customHeight="1">
      <c r="F398" s="25"/>
      <c r="G398" s="25"/>
    </row>
    <row r="399" ht="15.75" customHeight="1">
      <c r="F399" s="25"/>
      <c r="G399" s="25"/>
    </row>
    <row r="400" ht="15.75" customHeight="1">
      <c r="F400" s="25"/>
      <c r="G400" s="25"/>
    </row>
    <row r="401" ht="15.75" customHeight="1">
      <c r="F401" s="25"/>
      <c r="G401" s="25"/>
    </row>
    <row r="402" ht="15.75" customHeight="1">
      <c r="F402" s="25"/>
      <c r="G402" s="25"/>
    </row>
    <row r="403" ht="15.75" customHeight="1">
      <c r="F403" s="25"/>
      <c r="G403" s="25"/>
    </row>
    <row r="404" ht="15.75" customHeight="1">
      <c r="F404" s="25"/>
      <c r="G404" s="25"/>
    </row>
    <row r="405" ht="15.75" customHeight="1">
      <c r="F405" s="25"/>
      <c r="G405" s="25"/>
    </row>
    <row r="406" ht="15.75" customHeight="1">
      <c r="F406" s="25"/>
      <c r="G406" s="25"/>
    </row>
    <row r="407" ht="15.75" customHeight="1">
      <c r="F407" s="25"/>
      <c r="G407" s="25"/>
    </row>
    <row r="408" ht="15.75" customHeight="1">
      <c r="F408" s="25"/>
      <c r="G408" s="25"/>
    </row>
    <row r="409" ht="15.75" customHeight="1">
      <c r="F409" s="25"/>
      <c r="G409" s="25"/>
    </row>
    <row r="410" ht="15.75" customHeight="1">
      <c r="F410" s="25"/>
      <c r="G410" s="25"/>
    </row>
    <row r="411" ht="15.75" customHeight="1">
      <c r="F411" s="25"/>
      <c r="G411" s="25"/>
    </row>
    <row r="412" ht="15.75" customHeight="1">
      <c r="F412" s="25"/>
      <c r="G412" s="25"/>
    </row>
    <row r="413" ht="15.75" customHeight="1">
      <c r="F413" s="25"/>
      <c r="G413" s="25"/>
    </row>
    <row r="414" ht="15.75" customHeight="1">
      <c r="F414" s="25"/>
      <c r="G414" s="25"/>
    </row>
    <row r="415" ht="15.75" customHeight="1">
      <c r="F415" s="25"/>
      <c r="G415" s="25"/>
    </row>
    <row r="416" ht="15.75" customHeight="1">
      <c r="F416" s="25"/>
      <c r="G416" s="25"/>
    </row>
    <row r="417" ht="15.75" customHeight="1">
      <c r="F417" s="25"/>
      <c r="G417" s="25"/>
    </row>
    <row r="418" ht="15.75" customHeight="1">
      <c r="F418" s="25"/>
      <c r="G418" s="25"/>
    </row>
    <row r="419" ht="15.75" customHeight="1">
      <c r="F419" s="25"/>
      <c r="G419" s="25"/>
    </row>
    <row r="420" ht="15.75" customHeight="1">
      <c r="F420" s="25"/>
      <c r="G420" s="25"/>
    </row>
    <row r="421" ht="15.75" customHeight="1">
      <c r="F421" s="25"/>
      <c r="G421" s="25"/>
    </row>
    <row r="422" ht="15.75" customHeight="1">
      <c r="F422" s="25"/>
      <c r="G422" s="25"/>
    </row>
    <row r="423" ht="15.75" customHeight="1">
      <c r="F423" s="25"/>
      <c r="G423" s="25"/>
    </row>
    <row r="424" ht="15.75" customHeight="1">
      <c r="F424" s="25"/>
      <c r="G424" s="25"/>
    </row>
    <row r="425" ht="15.75" customHeight="1">
      <c r="F425" s="25"/>
      <c r="G425" s="25"/>
    </row>
    <row r="426" ht="15.75" customHeight="1">
      <c r="F426" s="25"/>
      <c r="G426" s="25"/>
    </row>
    <row r="427" ht="15.75" customHeight="1">
      <c r="F427" s="25"/>
      <c r="G427" s="25"/>
    </row>
    <row r="428" ht="15.75" customHeight="1">
      <c r="F428" s="25"/>
      <c r="G428" s="25"/>
    </row>
    <row r="429" ht="15.75" customHeight="1">
      <c r="F429" s="25"/>
      <c r="G429" s="25"/>
    </row>
    <row r="430" ht="15.75" customHeight="1">
      <c r="F430" s="25"/>
      <c r="G430" s="25"/>
    </row>
    <row r="431" ht="15.75" customHeight="1">
      <c r="F431" s="25"/>
      <c r="G431" s="25"/>
    </row>
    <row r="432" ht="15.75" customHeight="1">
      <c r="F432" s="25"/>
      <c r="G432" s="25"/>
    </row>
    <row r="433" ht="15.75" customHeight="1">
      <c r="F433" s="25"/>
      <c r="G433" s="25"/>
    </row>
    <row r="434" ht="15.75" customHeight="1">
      <c r="F434" s="25"/>
      <c r="G434" s="25"/>
    </row>
    <row r="435" ht="15.75" customHeight="1">
      <c r="F435" s="25"/>
      <c r="G435" s="25"/>
    </row>
    <row r="436" ht="15.75" customHeight="1">
      <c r="F436" s="25"/>
      <c r="G436" s="25"/>
    </row>
    <row r="437" ht="15.75" customHeight="1">
      <c r="F437" s="25"/>
      <c r="G437" s="25"/>
    </row>
    <row r="438" ht="15.75" customHeight="1">
      <c r="F438" s="25"/>
      <c r="G438" s="25"/>
    </row>
    <row r="439" ht="15.75" customHeight="1">
      <c r="F439" s="25"/>
      <c r="G439" s="25"/>
    </row>
    <row r="440" ht="15.75" customHeight="1">
      <c r="F440" s="25"/>
      <c r="G440" s="25"/>
    </row>
    <row r="441" ht="15.75" customHeight="1">
      <c r="F441" s="25"/>
      <c r="G441" s="25"/>
    </row>
    <row r="442" ht="15.75" customHeight="1">
      <c r="F442" s="25"/>
      <c r="G442" s="25"/>
    </row>
    <row r="443" ht="15.75" customHeight="1">
      <c r="F443" s="25"/>
      <c r="G443" s="25"/>
    </row>
    <row r="444" ht="15.75" customHeight="1">
      <c r="F444" s="25"/>
      <c r="G444" s="25"/>
    </row>
    <row r="445" ht="15.75" customHeight="1">
      <c r="F445" s="25"/>
      <c r="G445" s="25"/>
    </row>
    <row r="446" ht="15.75" customHeight="1">
      <c r="F446" s="25"/>
      <c r="G446" s="25"/>
    </row>
    <row r="447" ht="15.75" customHeight="1">
      <c r="F447" s="25"/>
      <c r="G447" s="25"/>
    </row>
    <row r="448" ht="15.75" customHeight="1">
      <c r="F448" s="25"/>
      <c r="G448" s="25"/>
    </row>
    <row r="449" ht="15.75" customHeight="1">
      <c r="F449" s="25"/>
      <c r="G449" s="25"/>
    </row>
    <row r="450" ht="15.75" customHeight="1">
      <c r="F450" s="25"/>
      <c r="G450" s="25"/>
    </row>
    <row r="451" ht="15.75" customHeight="1">
      <c r="F451" s="25"/>
      <c r="G451" s="25"/>
    </row>
    <row r="452" ht="15.75" customHeight="1">
      <c r="F452" s="25"/>
      <c r="G452" s="25"/>
    </row>
    <row r="453" ht="15.75" customHeight="1">
      <c r="F453" s="25"/>
      <c r="G453" s="25"/>
    </row>
    <row r="454" ht="15.75" customHeight="1">
      <c r="F454" s="25"/>
      <c r="G454" s="25"/>
    </row>
    <row r="455" ht="15.75" customHeight="1">
      <c r="F455" s="25"/>
      <c r="G455" s="25"/>
    </row>
    <row r="456" ht="15.75" customHeight="1">
      <c r="F456" s="25"/>
      <c r="G456" s="25"/>
    </row>
    <row r="457" ht="15.75" customHeight="1">
      <c r="F457" s="25"/>
      <c r="G457" s="25"/>
    </row>
    <row r="458" ht="15.75" customHeight="1">
      <c r="F458" s="25"/>
      <c r="G458" s="25"/>
    </row>
    <row r="459" ht="15.75" customHeight="1">
      <c r="F459" s="25"/>
      <c r="G459" s="25"/>
    </row>
    <row r="460" ht="15.75" customHeight="1">
      <c r="F460" s="25"/>
      <c r="G460" s="25"/>
    </row>
    <row r="461" ht="15.75" customHeight="1">
      <c r="F461" s="25"/>
      <c r="G461" s="25"/>
    </row>
    <row r="462" ht="15.75" customHeight="1">
      <c r="F462" s="25"/>
      <c r="G462" s="25"/>
    </row>
    <row r="463" ht="15.75" customHeight="1">
      <c r="F463" s="25"/>
      <c r="G463" s="25"/>
    </row>
    <row r="464" ht="15.75" customHeight="1">
      <c r="F464" s="25"/>
      <c r="G464" s="25"/>
    </row>
    <row r="465" ht="15.75" customHeight="1">
      <c r="F465" s="25"/>
      <c r="G465" s="25"/>
    </row>
    <row r="466" ht="15.75" customHeight="1">
      <c r="F466" s="25"/>
      <c r="G466" s="25"/>
    </row>
    <row r="467" ht="15.75" customHeight="1">
      <c r="F467" s="25"/>
      <c r="G467" s="25"/>
    </row>
    <row r="468" ht="15.75" customHeight="1">
      <c r="F468" s="25"/>
      <c r="G468" s="25"/>
    </row>
    <row r="469" ht="15.75" customHeight="1">
      <c r="F469" s="25"/>
      <c r="G469" s="25"/>
    </row>
    <row r="470" ht="15.75" customHeight="1">
      <c r="F470" s="25"/>
      <c r="G470" s="25"/>
    </row>
    <row r="471" ht="15.75" customHeight="1">
      <c r="F471" s="25"/>
      <c r="G471" s="25"/>
    </row>
    <row r="472" ht="15.75" customHeight="1">
      <c r="F472" s="25"/>
      <c r="G472" s="25"/>
    </row>
    <row r="473" ht="15.75" customHeight="1">
      <c r="F473" s="25"/>
      <c r="G473" s="25"/>
    </row>
    <row r="474" ht="15.75" customHeight="1">
      <c r="F474" s="25"/>
      <c r="G474" s="25"/>
    </row>
    <row r="475" ht="15.75" customHeight="1">
      <c r="F475" s="25"/>
      <c r="G475" s="25"/>
    </row>
    <row r="476" ht="15.75" customHeight="1">
      <c r="F476" s="25"/>
      <c r="G476" s="25"/>
    </row>
    <row r="477" ht="15.75" customHeight="1">
      <c r="F477" s="25"/>
      <c r="G477" s="25"/>
    </row>
    <row r="478" ht="15.75" customHeight="1">
      <c r="F478" s="25"/>
      <c r="G478" s="25"/>
    </row>
    <row r="479" ht="15.75" customHeight="1">
      <c r="F479" s="25"/>
      <c r="G479" s="25"/>
    </row>
    <row r="480" ht="15.75" customHeight="1">
      <c r="F480" s="25"/>
      <c r="G480" s="25"/>
    </row>
    <row r="481" ht="15.75" customHeight="1">
      <c r="F481" s="25"/>
      <c r="G481" s="25"/>
    </row>
    <row r="482" ht="15.75" customHeight="1">
      <c r="F482" s="25"/>
      <c r="G482" s="25"/>
    </row>
    <row r="483" ht="15.75" customHeight="1">
      <c r="F483" s="25"/>
      <c r="G483" s="25"/>
    </row>
    <row r="484" ht="15.75" customHeight="1">
      <c r="F484" s="25"/>
      <c r="G484" s="25"/>
    </row>
    <row r="485" ht="15.75" customHeight="1">
      <c r="F485" s="25"/>
      <c r="G485" s="25"/>
    </row>
    <row r="486" ht="15.75" customHeight="1">
      <c r="F486" s="25"/>
      <c r="G486" s="25"/>
    </row>
    <row r="487" ht="15.75" customHeight="1">
      <c r="F487" s="25"/>
      <c r="G487" s="25"/>
    </row>
    <row r="488" ht="15.75" customHeight="1">
      <c r="F488" s="25"/>
      <c r="G488" s="25"/>
    </row>
    <row r="489" ht="15.75" customHeight="1">
      <c r="F489" s="25"/>
      <c r="G489" s="25"/>
    </row>
    <row r="490" ht="15.75" customHeight="1">
      <c r="F490" s="25"/>
      <c r="G490" s="25"/>
    </row>
    <row r="491" ht="15.75" customHeight="1">
      <c r="F491" s="25"/>
      <c r="G491" s="25"/>
    </row>
    <row r="492" ht="15.75" customHeight="1">
      <c r="F492" s="25"/>
      <c r="G492" s="25"/>
    </row>
    <row r="493" ht="15.75" customHeight="1">
      <c r="F493" s="25"/>
      <c r="G493" s="25"/>
    </row>
    <row r="494" ht="15.75" customHeight="1">
      <c r="F494" s="25"/>
      <c r="G494" s="25"/>
    </row>
    <row r="495" ht="15.75" customHeight="1">
      <c r="F495" s="25"/>
      <c r="G495" s="25"/>
    </row>
    <row r="496" ht="15.75" customHeight="1">
      <c r="F496" s="25"/>
      <c r="G496" s="25"/>
    </row>
    <row r="497" ht="15.75" customHeight="1">
      <c r="F497" s="25"/>
      <c r="G497" s="25"/>
    </row>
    <row r="498" ht="15.75" customHeight="1">
      <c r="F498" s="25"/>
      <c r="G498" s="25"/>
    </row>
    <row r="499" ht="15.75" customHeight="1">
      <c r="F499" s="25"/>
      <c r="G499" s="25"/>
    </row>
    <row r="500" ht="15.75" customHeight="1">
      <c r="F500" s="25"/>
      <c r="G500" s="25"/>
    </row>
    <row r="501" ht="15.75" customHeight="1">
      <c r="F501" s="25"/>
      <c r="G501" s="25"/>
    </row>
    <row r="502" ht="15.75" customHeight="1">
      <c r="F502" s="25"/>
      <c r="G502" s="25"/>
    </row>
    <row r="503" ht="15.75" customHeight="1">
      <c r="F503" s="25"/>
      <c r="G503" s="25"/>
    </row>
    <row r="504" ht="15.75" customHeight="1">
      <c r="F504" s="25"/>
      <c r="G504" s="25"/>
    </row>
    <row r="505" ht="15.75" customHeight="1">
      <c r="F505" s="25"/>
      <c r="G505" s="25"/>
    </row>
    <row r="506" ht="15.75" customHeight="1">
      <c r="F506" s="25"/>
      <c r="G506" s="25"/>
    </row>
    <row r="507" ht="15.75" customHeight="1">
      <c r="F507" s="25"/>
      <c r="G507" s="25"/>
    </row>
    <row r="508" ht="15.75" customHeight="1">
      <c r="F508" s="25"/>
      <c r="G508" s="25"/>
    </row>
    <row r="509" ht="15.75" customHeight="1">
      <c r="F509" s="25"/>
      <c r="G509" s="25"/>
    </row>
    <row r="510" ht="15.75" customHeight="1">
      <c r="F510" s="25"/>
      <c r="G510" s="25"/>
    </row>
    <row r="511" ht="15.75" customHeight="1">
      <c r="F511" s="25"/>
      <c r="G511" s="25"/>
    </row>
    <row r="512" ht="15.75" customHeight="1">
      <c r="F512" s="25"/>
      <c r="G512" s="25"/>
    </row>
    <row r="513" ht="15.75" customHeight="1">
      <c r="F513" s="25"/>
      <c r="G513" s="25"/>
    </row>
    <row r="514" ht="15.75" customHeight="1">
      <c r="F514" s="25"/>
      <c r="G514" s="25"/>
    </row>
    <row r="515" ht="15.75" customHeight="1">
      <c r="F515" s="25"/>
      <c r="G515" s="25"/>
    </row>
    <row r="516" ht="15.75" customHeight="1">
      <c r="F516" s="25"/>
      <c r="G516" s="25"/>
    </row>
    <row r="517" ht="15.75" customHeight="1">
      <c r="F517" s="25"/>
      <c r="G517" s="25"/>
    </row>
    <row r="518" ht="15.75" customHeight="1">
      <c r="F518" s="25"/>
      <c r="G518" s="25"/>
    </row>
    <row r="519" ht="15.75" customHeight="1">
      <c r="F519" s="25"/>
      <c r="G519" s="25"/>
    </row>
    <row r="520" ht="15.75" customHeight="1">
      <c r="F520" s="25"/>
      <c r="G520" s="25"/>
    </row>
    <row r="521" ht="15.75" customHeight="1">
      <c r="F521" s="25"/>
      <c r="G521" s="25"/>
    </row>
    <row r="522" ht="15.75" customHeight="1">
      <c r="F522" s="25"/>
      <c r="G522" s="25"/>
    </row>
    <row r="523" ht="15.75" customHeight="1">
      <c r="F523" s="25"/>
      <c r="G523" s="25"/>
    </row>
    <row r="524" ht="15.75" customHeight="1">
      <c r="F524" s="25"/>
      <c r="G524" s="25"/>
    </row>
    <row r="525" ht="15.75" customHeight="1">
      <c r="F525" s="25"/>
      <c r="G525" s="25"/>
    </row>
    <row r="526" ht="15.75" customHeight="1">
      <c r="F526" s="25"/>
      <c r="G526" s="25"/>
    </row>
    <row r="527" ht="15.75" customHeight="1">
      <c r="F527" s="25"/>
      <c r="G527" s="25"/>
    </row>
    <row r="528" ht="15.75" customHeight="1">
      <c r="F528" s="25"/>
      <c r="G528" s="25"/>
    </row>
    <row r="529" ht="15.75" customHeight="1">
      <c r="F529" s="25"/>
      <c r="G529" s="25"/>
    </row>
    <row r="530" ht="15.75" customHeight="1">
      <c r="F530" s="25"/>
      <c r="G530" s="25"/>
    </row>
    <row r="531" ht="15.75" customHeight="1">
      <c r="F531" s="25"/>
      <c r="G531" s="25"/>
    </row>
    <row r="532" ht="15.75" customHeight="1">
      <c r="F532" s="25"/>
      <c r="G532" s="25"/>
    </row>
    <row r="533" ht="15.75" customHeight="1">
      <c r="F533" s="25"/>
      <c r="G533" s="25"/>
    </row>
    <row r="534" ht="15.75" customHeight="1">
      <c r="F534" s="25"/>
      <c r="G534" s="25"/>
    </row>
    <row r="535" ht="15.75" customHeight="1">
      <c r="F535" s="25"/>
      <c r="G535" s="25"/>
    </row>
    <row r="536" ht="15.75" customHeight="1">
      <c r="F536" s="25"/>
      <c r="G536" s="25"/>
    </row>
    <row r="537" ht="15.75" customHeight="1">
      <c r="F537" s="25"/>
      <c r="G537" s="25"/>
    </row>
    <row r="538" ht="15.75" customHeight="1">
      <c r="F538" s="25"/>
      <c r="G538" s="25"/>
    </row>
    <row r="539" ht="15.75" customHeight="1">
      <c r="F539" s="25"/>
      <c r="G539" s="25"/>
    </row>
    <row r="540" ht="15.75" customHeight="1">
      <c r="F540" s="25"/>
      <c r="G540" s="25"/>
    </row>
    <row r="541" ht="15.75" customHeight="1">
      <c r="F541" s="25"/>
      <c r="G541" s="25"/>
    </row>
    <row r="542" ht="15.75" customHeight="1">
      <c r="F542" s="25"/>
      <c r="G542" s="25"/>
    </row>
    <row r="543" ht="15.75" customHeight="1">
      <c r="F543" s="25"/>
      <c r="G543" s="25"/>
    </row>
    <row r="544" ht="15.75" customHeight="1">
      <c r="F544" s="25"/>
      <c r="G544" s="25"/>
    </row>
    <row r="545" ht="15.75" customHeight="1">
      <c r="F545" s="25"/>
      <c r="G545" s="25"/>
    </row>
    <row r="546" ht="15.75" customHeight="1">
      <c r="F546" s="25"/>
      <c r="G546" s="25"/>
    </row>
    <row r="547" ht="15.75" customHeight="1">
      <c r="F547" s="25"/>
      <c r="G547" s="25"/>
    </row>
    <row r="548" ht="15.75" customHeight="1">
      <c r="F548" s="25"/>
      <c r="G548" s="25"/>
    </row>
    <row r="549" ht="15.75" customHeight="1">
      <c r="F549" s="25"/>
      <c r="G549" s="25"/>
    </row>
    <row r="550" ht="15.75" customHeight="1">
      <c r="F550" s="25"/>
      <c r="G550" s="25"/>
    </row>
    <row r="551" ht="15.75" customHeight="1">
      <c r="F551" s="25"/>
      <c r="G551" s="25"/>
    </row>
    <row r="552" ht="15.75" customHeight="1">
      <c r="F552" s="25"/>
      <c r="G552" s="25"/>
    </row>
    <row r="553" ht="15.75" customHeight="1">
      <c r="F553" s="25"/>
      <c r="G553" s="25"/>
    </row>
    <row r="554" ht="15.75" customHeight="1">
      <c r="F554" s="25"/>
      <c r="G554" s="25"/>
    </row>
    <row r="555" ht="15.75" customHeight="1">
      <c r="F555" s="25"/>
      <c r="G555" s="25"/>
    </row>
    <row r="556" ht="15.75" customHeight="1">
      <c r="F556" s="25"/>
      <c r="G556" s="25"/>
    </row>
    <row r="557" ht="15.75" customHeight="1">
      <c r="F557" s="25"/>
      <c r="G557" s="25"/>
    </row>
    <row r="558" ht="15.75" customHeight="1">
      <c r="F558" s="25"/>
      <c r="G558" s="25"/>
    </row>
    <row r="559" ht="15.75" customHeight="1">
      <c r="F559" s="25"/>
      <c r="G559" s="25"/>
    </row>
    <row r="560" ht="15.75" customHeight="1">
      <c r="F560" s="25"/>
      <c r="G560" s="25"/>
    </row>
    <row r="561" ht="15.75" customHeight="1">
      <c r="F561" s="25"/>
      <c r="G561" s="25"/>
    </row>
    <row r="562" ht="15.75" customHeight="1">
      <c r="F562" s="25"/>
      <c r="G562" s="25"/>
    </row>
    <row r="563" ht="15.75" customHeight="1">
      <c r="F563" s="25"/>
      <c r="G563" s="25"/>
    </row>
    <row r="564" ht="15.75" customHeight="1">
      <c r="F564" s="25"/>
      <c r="G564" s="25"/>
    </row>
    <row r="565" ht="15.75" customHeight="1">
      <c r="F565" s="25"/>
      <c r="G565" s="25"/>
    </row>
    <row r="566" ht="15.75" customHeight="1">
      <c r="F566" s="25"/>
      <c r="G566" s="25"/>
    </row>
    <row r="567" ht="15.75" customHeight="1">
      <c r="F567" s="25"/>
      <c r="G567" s="25"/>
    </row>
    <row r="568" ht="15.75" customHeight="1">
      <c r="F568" s="25"/>
      <c r="G568" s="25"/>
    </row>
    <row r="569" ht="15.75" customHeight="1">
      <c r="F569" s="25"/>
      <c r="G569" s="25"/>
    </row>
    <row r="570" ht="15.75" customHeight="1">
      <c r="F570" s="25"/>
      <c r="G570" s="25"/>
    </row>
    <row r="571" ht="15.75" customHeight="1">
      <c r="F571" s="25"/>
      <c r="G571" s="25"/>
    </row>
    <row r="572" ht="15.75" customHeight="1">
      <c r="F572" s="25"/>
      <c r="G572" s="25"/>
    </row>
    <row r="573" ht="15.75" customHeight="1">
      <c r="F573" s="25"/>
      <c r="G573" s="25"/>
    </row>
    <row r="574" ht="15.75" customHeight="1">
      <c r="F574" s="25"/>
      <c r="G574" s="25"/>
    </row>
    <row r="575" ht="15.75" customHeight="1">
      <c r="F575" s="25"/>
      <c r="G575" s="25"/>
    </row>
    <row r="576" ht="15.75" customHeight="1">
      <c r="F576" s="25"/>
      <c r="G576" s="25"/>
    </row>
    <row r="577" ht="15.75" customHeight="1">
      <c r="F577" s="25"/>
      <c r="G577" s="25"/>
    </row>
    <row r="578" ht="15.75" customHeight="1">
      <c r="F578" s="25"/>
      <c r="G578" s="25"/>
    </row>
    <row r="579" ht="15.75" customHeight="1">
      <c r="F579" s="25"/>
      <c r="G579" s="25"/>
    </row>
    <row r="580" ht="15.75" customHeight="1">
      <c r="F580" s="25"/>
      <c r="G580" s="25"/>
    </row>
    <row r="581" ht="15.75" customHeight="1">
      <c r="F581" s="25"/>
      <c r="G581" s="25"/>
    </row>
    <row r="582" ht="15.75" customHeight="1">
      <c r="F582" s="25"/>
      <c r="G582" s="25"/>
    </row>
    <row r="583" ht="15.75" customHeight="1">
      <c r="F583" s="25"/>
      <c r="G583" s="25"/>
    </row>
    <row r="584" ht="15.75" customHeight="1">
      <c r="F584" s="25"/>
      <c r="G584" s="25"/>
    </row>
    <row r="585" ht="15.75" customHeight="1">
      <c r="F585" s="25"/>
      <c r="G585" s="25"/>
    </row>
    <row r="586" ht="15.75" customHeight="1">
      <c r="F586" s="25"/>
      <c r="G586" s="25"/>
    </row>
    <row r="587" ht="15.75" customHeight="1">
      <c r="F587" s="25"/>
      <c r="G587" s="25"/>
    </row>
    <row r="588" ht="15.75" customHeight="1">
      <c r="F588" s="25"/>
      <c r="G588" s="25"/>
    </row>
    <row r="589" ht="15.75" customHeight="1">
      <c r="F589" s="25"/>
      <c r="G589" s="25"/>
    </row>
    <row r="590" ht="15.75" customHeight="1">
      <c r="F590" s="25"/>
      <c r="G590" s="25"/>
    </row>
    <row r="591" ht="15.75" customHeight="1">
      <c r="F591" s="25"/>
      <c r="G591" s="25"/>
    </row>
    <row r="592" ht="15.75" customHeight="1">
      <c r="F592" s="25"/>
      <c r="G592" s="25"/>
    </row>
    <row r="593" ht="15.75" customHeight="1">
      <c r="F593" s="25"/>
      <c r="G593" s="25"/>
    </row>
    <row r="594" ht="15.75" customHeight="1">
      <c r="F594" s="25"/>
      <c r="G594" s="25"/>
    </row>
    <row r="595" ht="15.75" customHeight="1">
      <c r="F595" s="25"/>
      <c r="G595" s="25"/>
    </row>
    <row r="596" ht="15.75" customHeight="1">
      <c r="F596" s="25"/>
      <c r="G596" s="25"/>
    </row>
    <row r="597" ht="15.75" customHeight="1">
      <c r="F597" s="25"/>
      <c r="G597" s="25"/>
    </row>
    <row r="598" ht="15.75" customHeight="1">
      <c r="F598" s="25"/>
      <c r="G598" s="25"/>
    </row>
    <row r="599" ht="15.75" customHeight="1">
      <c r="F599" s="25"/>
      <c r="G599" s="25"/>
    </row>
    <row r="600" ht="15.75" customHeight="1">
      <c r="F600" s="25"/>
      <c r="G600" s="25"/>
    </row>
    <row r="601" ht="15.75" customHeight="1">
      <c r="F601" s="25"/>
      <c r="G601" s="25"/>
    </row>
    <row r="602" ht="15.75" customHeight="1">
      <c r="F602" s="25"/>
      <c r="G602" s="25"/>
    </row>
    <row r="603" ht="15.75" customHeight="1">
      <c r="F603" s="25"/>
      <c r="G603" s="25"/>
    </row>
    <row r="604" ht="15.75" customHeight="1">
      <c r="F604" s="25"/>
      <c r="G604" s="25"/>
    </row>
    <row r="605" ht="15.75" customHeight="1">
      <c r="F605" s="25"/>
      <c r="G605" s="25"/>
    </row>
    <row r="606" ht="15.75" customHeight="1">
      <c r="F606" s="25"/>
      <c r="G606" s="25"/>
    </row>
    <row r="607" ht="15.75" customHeight="1">
      <c r="F607" s="25"/>
      <c r="G607" s="25"/>
    </row>
    <row r="608" ht="15.75" customHeight="1">
      <c r="F608" s="25"/>
      <c r="G608" s="25"/>
    </row>
    <row r="609" ht="15.75" customHeight="1">
      <c r="F609" s="25"/>
      <c r="G609" s="25"/>
    </row>
    <row r="610" ht="15.75" customHeight="1">
      <c r="F610" s="25"/>
      <c r="G610" s="25"/>
    </row>
    <row r="611" ht="15.75" customHeight="1">
      <c r="F611" s="25"/>
      <c r="G611" s="25"/>
    </row>
    <row r="612" ht="15.75" customHeight="1">
      <c r="F612" s="25"/>
      <c r="G612" s="25"/>
    </row>
    <row r="613" ht="15.75" customHeight="1">
      <c r="F613" s="25"/>
      <c r="G613" s="25"/>
    </row>
    <row r="614" ht="15.75" customHeight="1">
      <c r="F614" s="25"/>
      <c r="G614" s="25"/>
    </row>
    <row r="615" ht="15.75" customHeight="1">
      <c r="F615" s="25"/>
      <c r="G615" s="25"/>
    </row>
    <row r="616" ht="15.75" customHeight="1">
      <c r="F616" s="25"/>
      <c r="G616" s="25"/>
    </row>
    <row r="617" ht="15.75" customHeight="1">
      <c r="F617" s="25"/>
      <c r="G617" s="25"/>
    </row>
    <row r="618" ht="15.75" customHeight="1">
      <c r="F618" s="25"/>
      <c r="G618" s="25"/>
    </row>
    <row r="619" ht="15.75" customHeight="1">
      <c r="F619" s="25"/>
      <c r="G619" s="25"/>
    </row>
    <row r="620" ht="15.75" customHeight="1">
      <c r="F620" s="25"/>
      <c r="G620" s="25"/>
    </row>
    <row r="621" ht="15.75" customHeight="1">
      <c r="F621" s="25"/>
      <c r="G621" s="25"/>
    </row>
    <row r="622" ht="15.75" customHeight="1">
      <c r="F622" s="25"/>
      <c r="G622" s="25"/>
    </row>
    <row r="623" ht="15.75" customHeight="1">
      <c r="F623" s="25"/>
      <c r="G623" s="25"/>
    </row>
    <row r="624" ht="15.75" customHeight="1">
      <c r="F624" s="25"/>
      <c r="G624" s="25"/>
    </row>
    <row r="625" ht="15.75" customHeight="1">
      <c r="F625" s="25"/>
      <c r="G625" s="25"/>
    </row>
    <row r="626" ht="15.75" customHeight="1">
      <c r="F626" s="25"/>
      <c r="G626" s="25"/>
    </row>
    <row r="627" ht="15.75" customHeight="1">
      <c r="F627" s="25"/>
      <c r="G627" s="25"/>
    </row>
    <row r="628" ht="15.75" customHeight="1">
      <c r="F628" s="25"/>
      <c r="G628" s="25"/>
    </row>
    <row r="629" ht="15.75" customHeight="1">
      <c r="F629" s="25"/>
      <c r="G629" s="25"/>
    </row>
    <row r="630" ht="15.75" customHeight="1">
      <c r="F630" s="25"/>
      <c r="G630" s="25"/>
    </row>
    <row r="631" ht="15.75" customHeight="1">
      <c r="F631" s="25"/>
      <c r="G631" s="25"/>
    </row>
    <row r="632" ht="15.75" customHeight="1">
      <c r="F632" s="25"/>
      <c r="G632" s="25"/>
    </row>
    <row r="633" ht="15.75" customHeight="1">
      <c r="F633" s="25"/>
      <c r="G633" s="25"/>
    </row>
    <row r="634" ht="15.75" customHeight="1">
      <c r="F634" s="25"/>
      <c r="G634" s="25"/>
    </row>
    <row r="635" ht="15.75" customHeight="1">
      <c r="F635" s="25"/>
      <c r="G635" s="25"/>
    </row>
    <row r="636" ht="15.75" customHeight="1">
      <c r="F636" s="25"/>
      <c r="G636" s="25"/>
    </row>
    <row r="637" ht="15.75" customHeight="1">
      <c r="F637" s="25"/>
      <c r="G637" s="25"/>
    </row>
    <row r="638" ht="15.75" customHeight="1">
      <c r="F638" s="25"/>
      <c r="G638" s="25"/>
    </row>
    <row r="639" ht="15.75" customHeight="1">
      <c r="F639" s="25"/>
      <c r="G639" s="25"/>
    </row>
    <row r="640" ht="15.75" customHeight="1">
      <c r="F640" s="25"/>
      <c r="G640" s="25"/>
    </row>
    <row r="641" ht="15.75" customHeight="1">
      <c r="F641" s="25"/>
      <c r="G641" s="25"/>
    </row>
    <row r="642" ht="15.75" customHeight="1">
      <c r="F642" s="25"/>
      <c r="G642" s="25"/>
    </row>
    <row r="643" ht="15.75" customHeight="1">
      <c r="F643" s="25"/>
      <c r="G643" s="25"/>
    </row>
    <row r="644" ht="15.75" customHeight="1">
      <c r="F644" s="25"/>
      <c r="G644" s="25"/>
    </row>
    <row r="645" ht="15.75" customHeight="1">
      <c r="F645" s="25"/>
      <c r="G645" s="25"/>
    </row>
    <row r="646" ht="15.75" customHeight="1">
      <c r="F646" s="25"/>
      <c r="G646" s="25"/>
    </row>
    <row r="647" ht="15.75" customHeight="1">
      <c r="F647" s="25"/>
      <c r="G647" s="25"/>
    </row>
    <row r="648" ht="15.75" customHeight="1">
      <c r="F648" s="25"/>
      <c r="G648" s="25"/>
    </row>
    <row r="649" ht="15.75" customHeight="1">
      <c r="F649" s="25"/>
      <c r="G649" s="25"/>
    </row>
    <row r="650" ht="15.75" customHeight="1">
      <c r="F650" s="25"/>
      <c r="G650" s="25"/>
    </row>
    <row r="651" ht="15.75" customHeight="1">
      <c r="F651" s="25"/>
      <c r="G651" s="25"/>
    </row>
    <row r="652" ht="15.75" customHeight="1">
      <c r="F652" s="25"/>
      <c r="G652" s="25"/>
    </row>
    <row r="653" ht="15.75" customHeight="1">
      <c r="F653" s="25"/>
      <c r="G653" s="25"/>
    </row>
    <row r="654" ht="15.75" customHeight="1">
      <c r="F654" s="25"/>
      <c r="G654" s="25"/>
    </row>
    <row r="655" ht="15.75" customHeight="1">
      <c r="F655" s="25"/>
      <c r="G655" s="25"/>
    </row>
    <row r="656" ht="15.75" customHeight="1">
      <c r="F656" s="25"/>
      <c r="G656" s="25"/>
    </row>
    <row r="657" ht="15.75" customHeight="1">
      <c r="F657" s="25"/>
      <c r="G657" s="25"/>
    </row>
    <row r="658" ht="15.75" customHeight="1">
      <c r="F658" s="25"/>
      <c r="G658" s="25"/>
    </row>
    <row r="659" ht="15.75" customHeight="1">
      <c r="F659" s="25"/>
      <c r="G659" s="25"/>
    </row>
    <row r="660" ht="15.75" customHeight="1">
      <c r="F660" s="25"/>
      <c r="G660" s="25"/>
    </row>
    <row r="661" ht="15.75" customHeight="1">
      <c r="F661" s="25"/>
      <c r="G661" s="25"/>
    </row>
    <row r="662" ht="15.75" customHeight="1">
      <c r="F662" s="25"/>
      <c r="G662" s="25"/>
    </row>
    <row r="663" ht="15.75" customHeight="1">
      <c r="F663" s="25"/>
      <c r="G663" s="25"/>
    </row>
    <row r="664" ht="15.75" customHeight="1">
      <c r="F664" s="25"/>
      <c r="G664" s="25"/>
    </row>
    <row r="665" ht="15.75" customHeight="1">
      <c r="F665" s="25"/>
      <c r="G665" s="25"/>
    </row>
    <row r="666" ht="15.75" customHeight="1">
      <c r="F666" s="25"/>
      <c r="G666" s="25"/>
    </row>
    <row r="667" ht="15.75" customHeight="1">
      <c r="F667" s="25"/>
      <c r="G667" s="25"/>
    </row>
    <row r="668" ht="15.75" customHeight="1">
      <c r="F668" s="25"/>
      <c r="G668" s="25"/>
    </row>
    <row r="669" ht="15.75" customHeight="1">
      <c r="F669" s="25"/>
      <c r="G669" s="25"/>
    </row>
    <row r="670" ht="15.75" customHeight="1">
      <c r="F670" s="25"/>
      <c r="G670" s="25"/>
    </row>
    <row r="671" ht="15.75" customHeight="1">
      <c r="F671" s="25"/>
      <c r="G671" s="25"/>
    </row>
    <row r="672" ht="15.75" customHeight="1">
      <c r="F672" s="25"/>
      <c r="G672" s="25"/>
    </row>
    <row r="673" ht="15.75" customHeight="1">
      <c r="F673" s="25"/>
      <c r="G673" s="25"/>
    </row>
    <row r="674" ht="15.75" customHeight="1">
      <c r="F674" s="25"/>
      <c r="G674" s="25"/>
    </row>
    <row r="675" ht="15.75" customHeight="1">
      <c r="F675" s="25"/>
      <c r="G675" s="25"/>
    </row>
    <row r="676" ht="15.75" customHeight="1">
      <c r="F676" s="25"/>
      <c r="G676" s="25"/>
    </row>
    <row r="677" ht="15.75" customHeight="1">
      <c r="F677" s="25"/>
      <c r="G677" s="25"/>
    </row>
    <row r="678" ht="15.75" customHeight="1">
      <c r="F678" s="25"/>
      <c r="G678" s="25"/>
    </row>
    <row r="679" ht="15.75" customHeight="1">
      <c r="F679" s="25"/>
      <c r="G679" s="25"/>
    </row>
    <row r="680" ht="15.75" customHeight="1">
      <c r="F680" s="25"/>
      <c r="G680" s="25"/>
    </row>
    <row r="681" ht="15.75" customHeight="1">
      <c r="F681" s="25"/>
      <c r="G681" s="25"/>
    </row>
    <row r="682" ht="15.75" customHeight="1">
      <c r="F682" s="25"/>
      <c r="G682" s="25"/>
    </row>
    <row r="683" ht="15.75" customHeight="1">
      <c r="F683" s="25"/>
      <c r="G683" s="25"/>
    </row>
    <row r="684" ht="15.75" customHeight="1">
      <c r="F684" s="25"/>
      <c r="G684" s="25"/>
    </row>
    <row r="685" ht="15.75" customHeight="1">
      <c r="F685" s="25"/>
      <c r="G685" s="25"/>
    </row>
    <row r="686" ht="15.75" customHeight="1">
      <c r="F686" s="25"/>
      <c r="G686" s="25"/>
    </row>
    <row r="687" ht="15.75" customHeight="1">
      <c r="F687" s="25"/>
      <c r="G687" s="25"/>
    </row>
    <row r="688" ht="15.75" customHeight="1">
      <c r="F688" s="25"/>
      <c r="G688" s="25"/>
    </row>
    <row r="689" ht="15.75" customHeight="1">
      <c r="F689" s="25"/>
      <c r="G689" s="25"/>
    </row>
    <row r="690" ht="15.75" customHeight="1">
      <c r="F690" s="25"/>
      <c r="G690" s="25"/>
    </row>
    <row r="691" ht="15.75" customHeight="1">
      <c r="F691" s="25"/>
      <c r="G691" s="25"/>
    </row>
    <row r="692" ht="15.75" customHeight="1">
      <c r="F692" s="25"/>
      <c r="G692" s="25"/>
    </row>
    <row r="693" ht="15.75" customHeight="1">
      <c r="F693" s="25"/>
      <c r="G693" s="25"/>
    </row>
    <row r="694" ht="15.75" customHeight="1">
      <c r="F694" s="25"/>
      <c r="G694" s="25"/>
    </row>
    <row r="695" ht="15.75" customHeight="1">
      <c r="F695" s="25"/>
      <c r="G695" s="25"/>
    </row>
    <row r="696" ht="15.75" customHeight="1">
      <c r="F696" s="25"/>
      <c r="G696" s="25"/>
    </row>
    <row r="697" ht="15.75" customHeight="1">
      <c r="F697" s="25"/>
      <c r="G697" s="25"/>
    </row>
    <row r="698" ht="15.75" customHeight="1">
      <c r="F698" s="25"/>
      <c r="G698" s="25"/>
    </row>
    <row r="699" ht="15.75" customHeight="1">
      <c r="F699" s="25"/>
      <c r="G699" s="25"/>
    </row>
    <row r="700" ht="15.75" customHeight="1">
      <c r="F700" s="25"/>
      <c r="G700" s="25"/>
    </row>
    <row r="701" ht="15.75" customHeight="1">
      <c r="F701" s="25"/>
      <c r="G701" s="25"/>
    </row>
    <row r="702" ht="15.75" customHeight="1">
      <c r="F702" s="25"/>
      <c r="G702" s="25"/>
    </row>
    <row r="703" ht="15.75" customHeight="1">
      <c r="F703" s="25"/>
      <c r="G703" s="25"/>
    </row>
    <row r="704" ht="15.75" customHeight="1">
      <c r="F704" s="25"/>
      <c r="G704" s="25"/>
    </row>
    <row r="705" ht="15.75" customHeight="1">
      <c r="F705" s="25"/>
      <c r="G705" s="25"/>
    </row>
    <row r="706" ht="15.75" customHeight="1">
      <c r="F706" s="25"/>
      <c r="G706" s="25"/>
    </row>
    <row r="707" ht="15.75" customHeight="1">
      <c r="F707" s="25"/>
      <c r="G707" s="25"/>
    </row>
    <row r="708" ht="15.75" customHeight="1">
      <c r="F708" s="25"/>
      <c r="G708" s="25"/>
    </row>
    <row r="709" ht="15.75" customHeight="1">
      <c r="F709" s="25"/>
      <c r="G709" s="25"/>
    </row>
    <row r="710" ht="15.75" customHeight="1">
      <c r="F710" s="25"/>
      <c r="G710" s="25"/>
    </row>
    <row r="711" ht="15.75" customHeight="1">
      <c r="F711" s="25"/>
      <c r="G711" s="25"/>
    </row>
    <row r="712" ht="15.75" customHeight="1">
      <c r="F712" s="25"/>
      <c r="G712" s="25"/>
    </row>
    <row r="713" ht="15.75" customHeight="1">
      <c r="F713" s="25"/>
      <c r="G713" s="25"/>
    </row>
    <row r="714" ht="15.75" customHeight="1">
      <c r="F714" s="25"/>
      <c r="G714" s="25"/>
    </row>
    <row r="715" ht="15.75" customHeight="1">
      <c r="F715" s="25"/>
      <c r="G715" s="25"/>
    </row>
    <row r="716" ht="15.75" customHeight="1">
      <c r="F716" s="25"/>
      <c r="G716" s="25"/>
    </row>
    <row r="717" ht="15.75" customHeight="1">
      <c r="F717" s="25"/>
      <c r="G717" s="25"/>
    </row>
    <row r="718" ht="15.75" customHeight="1">
      <c r="F718" s="25"/>
      <c r="G718" s="25"/>
    </row>
    <row r="719" ht="15.75" customHeight="1">
      <c r="F719" s="25"/>
      <c r="G719" s="25"/>
    </row>
    <row r="720" ht="15.75" customHeight="1">
      <c r="F720" s="25"/>
      <c r="G720" s="25"/>
    </row>
    <row r="721" ht="15.75" customHeight="1">
      <c r="F721" s="25"/>
      <c r="G721" s="25"/>
    </row>
    <row r="722" ht="15.75" customHeight="1">
      <c r="F722" s="25"/>
      <c r="G722" s="25"/>
    </row>
    <row r="723" ht="15.75" customHeight="1">
      <c r="F723" s="25"/>
      <c r="G723" s="25"/>
    </row>
    <row r="724" ht="15.75" customHeight="1">
      <c r="F724" s="25"/>
      <c r="G724" s="25"/>
    </row>
    <row r="725" ht="15.75" customHeight="1">
      <c r="F725" s="25"/>
      <c r="G725" s="25"/>
    </row>
    <row r="726" ht="15.75" customHeight="1">
      <c r="F726" s="25"/>
      <c r="G726" s="25"/>
    </row>
    <row r="727" ht="15.75" customHeight="1">
      <c r="F727" s="25"/>
      <c r="G727" s="25"/>
    </row>
    <row r="728" ht="15.75" customHeight="1">
      <c r="F728" s="25"/>
      <c r="G728" s="25"/>
    </row>
    <row r="729" ht="15.75" customHeight="1">
      <c r="F729" s="25"/>
      <c r="G729" s="25"/>
    </row>
    <row r="730" ht="15.75" customHeight="1">
      <c r="F730" s="25"/>
      <c r="G730" s="25"/>
    </row>
    <row r="731" ht="15.75" customHeight="1">
      <c r="F731" s="25"/>
      <c r="G731" s="25"/>
    </row>
    <row r="732" ht="15.75" customHeight="1">
      <c r="F732" s="25"/>
      <c r="G732" s="25"/>
    </row>
    <row r="733" ht="15.75" customHeight="1">
      <c r="F733" s="25"/>
      <c r="G733" s="25"/>
    </row>
    <row r="734" ht="15.75" customHeight="1">
      <c r="F734" s="25"/>
      <c r="G734" s="25"/>
    </row>
    <row r="735" ht="15.75" customHeight="1">
      <c r="F735" s="25"/>
      <c r="G735" s="25"/>
    </row>
    <row r="736" ht="15.75" customHeight="1">
      <c r="F736" s="25"/>
      <c r="G736" s="25"/>
    </row>
    <row r="737" ht="15.75" customHeight="1">
      <c r="F737" s="25"/>
      <c r="G737" s="25"/>
    </row>
    <row r="738" ht="15.75" customHeight="1">
      <c r="F738" s="25"/>
      <c r="G738" s="25"/>
    </row>
    <row r="739" ht="15.75" customHeight="1">
      <c r="F739" s="25"/>
      <c r="G739" s="25"/>
    </row>
    <row r="740" ht="15.75" customHeight="1">
      <c r="F740" s="25"/>
      <c r="G740" s="25"/>
    </row>
    <row r="741" ht="15.75" customHeight="1">
      <c r="F741" s="25"/>
      <c r="G741" s="25"/>
    </row>
    <row r="742" ht="15.75" customHeight="1">
      <c r="F742" s="25"/>
      <c r="G742" s="25"/>
    </row>
    <row r="743" ht="15.75" customHeight="1">
      <c r="F743" s="25"/>
      <c r="G743" s="25"/>
    </row>
    <row r="744" ht="15.75" customHeight="1">
      <c r="F744" s="25"/>
      <c r="G744" s="25"/>
    </row>
    <row r="745" ht="15.75" customHeight="1">
      <c r="F745" s="25"/>
      <c r="G745" s="25"/>
    </row>
    <row r="746" ht="15.75" customHeight="1">
      <c r="F746" s="25"/>
      <c r="G746" s="25"/>
    </row>
    <row r="747" ht="15.75" customHeight="1">
      <c r="F747" s="25"/>
      <c r="G747" s="25"/>
    </row>
    <row r="748" ht="15.75" customHeight="1">
      <c r="F748" s="25"/>
      <c r="G748" s="25"/>
    </row>
    <row r="749" ht="15.75" customHeight="1">
      <c r="F749" s="25"/>
      <c r="G749" s="25"/>
    </row>
    <row r="750" ht="15.75" customHeight="1">
      <c r="F750" s="25"/>
      <c r="G750" s="25"/>
    </row>
    <row r="751" ht="15.75" customHeight="1">
      <c r="F751" s="25"/>
      <c r="G751" s="25"/>
    </row>
    <row r="752" ht="15.75" customHeight="1">
      <c r="F752" s="25"/>
      <c r="G752" s="25"/>
    </row>
    <row r="753" ht="15.75" customHeight="1">
      <c r="F753" s="25"/>
      <c r="G753" s="25"/>
    </row>
    <row r="754" ht="15.75" customHeight="1">
      <c r="F754" s="25"/>
      <c r="G754" s="25"/>
    </row>
    <row r="755" ht="15.75" customHeight="1">
      <c r="F755" s="25"/>
      <c r="G755" s="25"/>
    </row>
    <row r="756" ht="15.75" customHeight="1">
      <c r="F756" s="25"/>
      <c r="G756" s="25"/>
    </row>
    <row r="757" ht="15.75" customHeight="1">
      <c r="F757" s="25"/>
      <c r="G757" s="25"/>
    </row>
    <row r="758" ht="15.75" customHeight="1">
      <c r="F758" s="25"/>
      <c r="G758" s="25"/>
    </row>
    <row r="759" ht="15.75" customHeight="1">
      <c r="F759" s="25"/>
      <c r="G759" s="25"/>
    </row>
    <row r="760" ht="15.75" customHeight="1">
      <c r="F760" s="25"/>
      <c r="G760" s="25"/>
    </row>
    <row r="761" ht="15.75" customHeight="1">
      <c r="F761" s="25"/>
      <c r="G761" s="25"/>
    </row>
    <row r="762" ht="15.75" customHeight="1">
      <c r="F762" s="25"/>
      <c r="G762" s="25"/>
    </row>
    <row r="763" ht="15.75" customHeight="1">
      <c r="F763" s="25"/>
      <c r="G763" s="25"/>
    </row>
    <row r="764" ht="15.75" customHeight="1">
      <c r="F764" s="25"/>
      <c r="G764" s="25"/>
    </row>
    <row r="765" ht="15.75" customHeight="1">
      <c r="F765" s="25"/>
      <c r="G765" s="25"/>
    </row>
    <row r="766" ht="15.75" customHeight="1">
      <c r="F766" s="25"/>
      <c r="G766" s="25"/>
    </row>
    <row r="767" ht="15.75" customHeight="1">
      <c r="F767" s="25"/>
      <c r="G767" s="25"/>
    </row>
    <row r="768" ht="15.75" customHeight="1">
      <c r="F768" s="25"/>
      <c r="G768" s="25"/>
    </row>
    <row r="769" ht="15.75" customHeight="1">
      <c r="F769" s="25"/>
      <c r="G769" s="25"/>
    </row>
    <row r="770" ht="15.75" customHeight="1">
      <c r="F770" s="25"/>
      <c r="G770" s="25"/>
    </row>
    <row r="771" ht="15.75" customHeight="1">
      <c r="F771" s="25"/>
      <c r="G771" s="25"/>
    </row>
    <row r="772" ht="15.75" customHeight="1">
      <c r="F772" s="25"/>
      <c r="G772" s="25"/>
    </row>
    <row r="773" ht="15.75" customHeight="1">
      <c r="F773" s="25"/>
      <c r="G773" s="25"/>
    </row>
    <row r="774" ht="15.75" customHeight="1">
      <c r="F774" s="25"/>
      <c r="G774" s="25"/>
    </row>
    <row r="775" ht="15.75" customHeight="1">
      <c r="F775" s="25"/>
      <c r="G775" s="25"/>
    </row>
    <row r="776" ht="15.75" customHeight="1">
      <c r="F776" s="25"/>
      <c r="G776" s="25"/>
    </row>
    <row r="777" ht="15.75" customHeight="1">
      <c r="F777" s="25"/>
      <c r="G777" s="25"/>
    </row>
    <row r="778" ht="15.75" customHeight="1">
      <c r="F778" s="25"/>
      <c r="G778" s="25"/>
    </row>
    <row r="779" ht="15.75" customHeight="1">
      <c r="F779" s="25"/>
      <c r="G779" s="25"/>
    </row>
    <row r="780" ht="15.75" customHeight="1">
      <c r="F780" s="25"/>
      <c r="G780" s="25"/>
    </row>
    <row r="781" ht="15.75" customHeight="1">
      <c r="F781" s="25"/>
      <c r="G781" s="25"/>
    </row>
    <row r="782" ht="15.75" customHeight="1">
      <c r="F782" s="25"/>
      <c r="G782" s="25"/>
    </row>
    <row r="783" ht="15.75" customHeight="1">
      <c r="F783" s="25"/>
      <c r="G783" s="25"/>
    </row>
    <row r="784" ht="15.75" customHeight="1">
      <c r="F784" s="25"/>
      <c r="G784" s="25"/>
    </row>
    <row r="785" ht="15.75" customHeight="1">
      <c r="F785" s="25"/>
      <c r="G785" s="25"/>
    </row>
    <row r="786" ht="15.75" customHeight="1">
      <c r="F786" s="25"/>
      <c r="G786" s="25"/>
    </row>
    <row r="787" ht="15.75" customHeight="1">
      <c r="F787" s="25"/>
      <c r="G787" s="25"/>
    </row>
    <row r="788" ht="15.75" customHeight="1">
      <c r="F788" s="25"/>
      <c r="G788" s="25"/>
    </row>
    <row r="789" ht="15.75" customHeight="1">
      <c r="F789" s="25"/>
      <c r="G789" s="25"/>
    </row>
    <row r="790" ht="15.75" customHeight="1">
      <c r="F790" s="25"/>
      <c r="G790" s="25"/>
    </row>
    <row r="791" ht="15.75" customHeight="1">
      <c r="F791" s="25"/>
      <c r="G791" s="25"/>
    </row>
    <row r="792" ht="15.75" customHeight="1">
      <c r="F792" s="25"/>
      <c r="G792" s="25"/>
    </row>
    <row r="793" ht="15.75" customHeight="1">
      <c r="F793" s="25"/>
      <c r="G793" s="25"/>
    </row>
    <row r="794" ht="15.75" customHeight="1">
      <c r="F794" s="25"/>
      <c r="G794" s="25"/>
    </row>
    <row r="795" ht="15.75" customHeight="1">
      <c r="F795" s="25"/>
      <c r="G795" s="25"/>
    </row>
    <row r="796" ht="15.75" customHeight="1">
      <c r="F796" s="25"/>
      <c r="G796" s="25"/>
    </row>
    <row r="797" ht="15.75" customHeight="1">
      <c r="F797" s="25"/>
      <c r="G797" s="25"/>
    </row>
    <row r="798" ht="15.75" customHeight="1">
      <c r="F798" s="25"/>
      <c r="G798" s="25"/>
    </row>
    <row r="799" ht="15.75" customHeight="1">
      <c r="F799" s="25"/>
      <c r="G799" s="25"/>
    </row>
    <row r="800" ht="15.75" customHeight="1">
      <c r="F800" s="25"/>
      <c r="G800" s="25"/>
    </row>
    <row r="801" ht="15.75" customHeight="1">
      <c r="F801" s="25"/>
      <c r="G801" s="25"/>
    </row>
    <row r="802" ht="15.75" customHeight="1">
      <c r="F802" s="25"/>
      <c r="G802" s="25"/>
    </row>
    <row r="803" ht="15.75" customHeight="1">
      <c r="F803" s="25"/>
      <c r="G803" s="25"/>
    </row>
    <row r="804" ht="15.75" customHeight="1">
      <c r="F804" s="25"/>
      <c r="G804" s="25"/>
    </row>
    <row r="805" ht="15.75" customHeight="1">
      <c r="F805" s="25"/>
      <c r="G805" s="25"/>
    </row>
    <row r="806" ht="15.75" customHeight="1">
      <c r="F806" s="25"/>
      <c r="G806" s="25"/>
    </row>
    <row r="807" ht="15.75" customHeight="1">
      <c r="F807" s="25"/>
      <c r="G807" s="25"/>
    </row>
    <row r="808" ht="15.75" customHeight="1">
      <c r="F808" s="25"/>
      <c r="G808" s="25"/>
    </row>
    <row r="809" ht="15.75" customHeight="1">
      <c r="F809" s="25"/>
      <c r="G809" s="25"/>
    </row>
    <row r="810" ht="15.75" customHeight="1">
      <c r="F810" s="25"/>
      <c r="G810" s="25"/>
    </row>
    <row r="811" ht="15.75" customHeight="1">
      <c r="F811" s="25"/>
      <c r="G811" s="25"/>
    </row>
    <row r="812" ht="15.75" customHeight="1">
      <c r="F812" s="25"/>
      <c r="G812" s="25"/>
    </row>
    <row r="813" ht="15.75" customHeight="1">
      <c r="F813" s="25"/>
      <c r="G813" s="25"/>
    </row>
    <row r="814" ht="15.75" customHeight="1">
      <c r="F814" s="25"/>
      <c r="G814" s="25"/>
    </row>
    <row r="815" ht="15.75" customHeight="1">
      <c r="F815" s="25"/>
      <c r="G815" s="25"/>
    </row>
    <row r="816" ht="15.75" customHeight="1">
      <c r="F816" s="25"/>
      <c r="G816" s="25"/>
    </row>
    <row r="817" ht="15.75" customHeight="1">
      <c r="F817" s="25"/>
      <c r="G817" s="25"/>
    </row>
    <row r="818" ht="15.75" customHeight="1">
      <c r="F818" s="25"/>
      <c r="G818" s="25"/>
    </row>
    <row r="819" ht="15.75" customHeight="1">
      <c r="F819" s="25"/>
      <c r="G819" s="25"/>
    </row>
    <row r="820" ht="15.75" customHeight="1">
      <c r="F820" s="25"/>
      <c r="G820" s="25"/>
    </row>
    <row r="821" ht="15.75" customHeight="1">
      <c r="F821" s="25"/>
      <c r="G821" s="25"/>
    </row>
    <row r="822" ht="15.75" customHeight="1">
      <c r="F822" s="25"/>
      <c r="G822" s="25"/>
    </row>
    <row r="823" ht="15.75" customHeight="1">
      <c r="F823" s="25"/>
      <c r="G823" s="25"/>
    </row>
    <row r="824" ht="15.75" customHeight="1">
      <c r="F824" s="25"/>
      <c r="G824" s="25"/>
    </row>
    <row r="825" ht="15.75" customHeight="1">
      <c r="F825" s="25"/>
      <c r="G825" s="25"/>
    </row>
    <row r="826" ht="15.75" customHeight="1">
      <c r="F826" s="25"/>
      <c r="G826" s="25"/>
    </row>
    <row r="827" ht="15.75" customHeight="1">
      <c r="F827" s="25"/>
      <c r="G827" s="25"/>
    </row>
    <row r="828" ht="15.75" customHeight="1">
      <c r="F828" s="25"/>
      <c r="G828" s="25"/>
    </row>
    <row r="829" ht="15.75" customHeight="1">
      <c r="F829" s="25"/>
      <c r="G829" s="25"/>
    </row>
    <row r="830" ht="15.75" customHeight="1">
      <c r="F830" s="25"/>
      <c r="G830" s="25"/>
    </row>
    <row r="831" ht="15.75" customHeight="1">
      <c r="F831" s="25"/>
      <c r="G831" s="25"/>
    </row>
    <row r="832" ht="15.75" customHeight="1">
      <c r="F832" s="25"/>
      <c r="G832" s="25"/>
    </row>
    <row r="833" ht="15.75" customHeight="1">
      <c r="F833" s="25"/>
      <c r="G833" s="25"/>
    </row>
    <row r="834" ht="15.75" customHeight="1">
      <c r="F834" s="25"/>
      <c r="G834" s="25"/>
    </row>
    <row r="835" ht="15.75" customHeight="1">
      <c r="F835" s="25"/>
      <c r="G835" s="25"/>
    </row>
    <row r="836" ht="15.75" customHeight="1">
      <c r="F836" s="25"/>
      <c r="G836" s="25"/>
    </row>
    <row r="837" ht="15.75" customHeight="1">
      <c r="F837" s="25"/>
      <c r="G837" s="25"/>
    </row>
    <row r="838" ht="15.75" customHeight="1">
      <c r="F838" s="25"/>
      <c r="G838" s="25"/>
    </row>
    <row r="839" ht="15.75" customHeight="1">
      <c r="F839" s="25"/>
      <c r="G839" s="25"/>
    </row>
    <row r="840" ht="15.75" customHeight="1">
      <c r="F840" s="25"/>
      <c r="G840" s="25"/>
    </row>
    <row r="841" ht="15.75" customHeight="1">
      <c r="F841" s="25"/>
      <c r="G841" s="25"/>
    </row>
    <row r="842" ht="15.75" customHeight="1">
      <c r="F842" s="25"/>
      <c r="G842" s="25"/>
    </row>
    <row r="843" ht="15.75" customHeight="1">
      <c r="F843" s="25"/>
      <c r="G843" s="25"/>
    </row>
    <row r="844" ht="15.75" customHeight="1">
      <c r="F844" s="25"/>
      <c r="G844" s="25"/>
    </row>
    <row r="845" ht="15.75" customHeight="1">
      <c r="F845" s="25"/>
      <c r="G845" s="25"/>
    </row>
    <row r="846" ht="15.75" customHeight="1">
      <c r="F846" s="25"/>
      <c r="G846" s="25"/>
    </row>
    <row r="847" ht="15.75" customHeight="1">
      <c r="F847" s="25"/>
      <c r="G847" s="25"/>
    </row>
    <row r="848" ht="15.75" customHeight="1">
      <c r="F848" s="25"/>
      <c r="G848" s="25"/>
    </row>
    <row r="849" ht="15.75" customHeight="1">
      <c r="F849" s="25"/>
      <c r="G849" s="25"/>
    </row>
    <row r="850" ht="15.75" customHeight="1">
      <c r="F850" s="25"/>
      <c r="G850" s="25"/>
    </row>
    <row r="851" ht="15.75" customHeight="1">
      <c r="F851" s="25"/>
      <c r="G851" s="25"/>
    </row>
    <row r="852" ht="15.75" customHeight="1">
      <c r="F852" s="25"/>
      <c r="G852" s="25"/>
    </row>
    <row r="853" ht="15.75" customHeight="1">
      <c r="F853" s="25"/>
      <c r="G853" s="25"/>
    </row>
    <row r="854" ht="15.75" customHeight="1">
      <c r="F854" s="25"/>
      <c r="G854" s="25"/>
    </row>
    <row r="855" ht="15.75" customHeight="1">
      <c r="F855" s="25"/>
      <c r="G855" s="25"/>
    </row>
    <row r="856" ht="15.75" customHeight="1">
      <c r="F856" s="25"/>
      <c r="G856" s="25"/>
    </row>
    <row r="857" ht="15.75" customHeight="1">
      <c r="F857" s="25"/>
      <c r="G857" s="25"/>
    </row>
    <row r="858" ht="15.75" customHeight="1">
      <c r="F858" s="25"/>
      <c r="G858" s="25"/>
    </row>
    <row r="859" ht="15.75" customHeight="1">
      <c r="F859" s="25"/>
      <c r="G859" s="25"/>
    </row>
    <row r="860" ht="15.75" customHeight="1">
      <c r="F860" s="25"/>
      <c r="G860" s="25"/>
    </row>
    <row r="861" ht="15.75" customHeight="1">
      <c r="F861" s="25"/>
      <c r="G861" s="25"/>
    </row>
    <row r="862" ht="15.75" customHeight="1">
      <c r="F862" s="25"/>
      <c r="G862" s="25"/>
    </row>
    <row r="863" ht="15.75" customHeight="1">
      <c r="F863" s="25"/>
      <c r="G863" s="25"/>
    </row>
    <row r="864" ht="15.75" customHeight="1">
      <c r="F864" s="25"/>
      <c r="G864" s="25"/>
    </row>
    <row r="865" ht="15.75" customHeight="1">
      <c r="F865" s="25"/>
      <c r="G865" s="25"/>
    </row>
    <row r="866" ht="15.75" customHeight="1">
      <c r="F866" s="25"/>
      <c r="G866" s="25"/>
    </row>
    <row r="867" ht="15.75" customHeight="1">
      <c r="F867" s="25"/>
      <c r="G867" s="25"/>
    </row>
    <row r="868" ht="15.75" customHeight="1">
      <c r="F868" s="25"/>
      <c r="G868" s="25"/>
    </row>
    <row r="869" ht="15.75" customHeight="1">
      <c r="F869" s="25"/>
      <c r="G869" s="25"/>
    </row>
    <row r="870" ht="15.75" customHeight="1">
      <c r="F870" s="25"/>
      <c r="G870" s="25"/>
    </row>
    <row r="871" ht="15.75" customHeight="1">
      <c r="F871" s="25"/>
      <c r="G871" s="25"/>
    </row>
    <row r="872" ht="15.75" customHeight="1">
      <c r="F872" s="25"/>
      <c r="G872" s="25"/>
    </row>
    <row r="873" ht="15.75" customHeight="1">
      <c r="F873" s="25"/>
      <c r="G873" s="25"/>
    </row>
    <row r="874" ht="15.75" customHeight="1">
      <c r="F874" s="25"/>
      <c r="G874" s="25"/>
    </row>
    <row r="875" ht="15.75" customHeight="1">
      <c r="F875" s="25"/>
      <c r="G875" s="25"/>
    </row>
    <row r="876" ht="15.75" customHeight="1">
      <c r="F876" s="25"/>
      <c r="G876" s="25"/>
    </row>
    <row r="877" ht="15.75" customHeight="1">
      <c r="F877" s="25"/>
      <c r="G877" s="25"/>
    </row>
    <row r="878" ht="15.75" customHeight="1">
      <c r="F878" s="25"/>
      <c r="G878" s="25"/>
    </row>
    <row r="879" ht="15.75" customHeight="1">
      <c r="F879" s="25"/>
      <c r="G879" s="25"/>
    </row>
    <row r="880" ht="15.75" customHeight="1">
      <c r="F880" s="25"/>
      <c r="G880" s="25"/>
    </row>
    <row r="881" ht="15.75" customHeight="1">
      <c r="F881" s="25"/>
      <c r="G881" s="25"/>
    </row>
    <row r="882" ht="15.75" customHeight="1">
      <c r="F882" s="25"/>
      <c r="G882" s="25"/>
    </row>
    <row r="883" ht="15.75" customHeight="1">
      <c r="F883" s="25"/>
      <c r="G883" s="25"/>
    </row>
    <row r="884" ht="15.75" customHeight="1">
      <c r="F884" s="25"/>
      <c r="G884" s="25"/>
    </row>
    <row r="885" ht="15.75" customHeight="1">
      <c r="F885" s="25"/>
      <c r="G885" s="25"/>
    </row>
    <row r="886" ht="15.75" customHeight="1">
      <c r="F886" s="25"/>
      <c r="G886" s="25"/>
    </row>
    <row r="887" ht="15.75" customHeight="1">
      <c r="F887" s="25"/>
      <c r="G887" s="25"/>
    </row>
    <row r="888" ht="15.75" customHeight="1">
      <c r="F888" s="25"/>
      <c r="G888" s="25"/>
    </row>
    <row r="889" ht="15.75" customHeight="1">
      <c r="F889" s="25"/>
      <c r="G889" s="25"/>
    </row>
    <row r="890" ht="15.75" customHeight="1">
      <c r="F890" s="25"/>
      <c r="G890" s="25"/>
    </row>
    <row r="891" ht="15.75" customHeight="1">
      <c r="F891" s="25"/>
      <c r="G891" s="25"/>
    </row>
    <row r="892" ht="15.75" customHeight="1">
      <c r="F892" s="25"/>
      <c r="G892" s="25"/>
    </row>
    <row r="893" ht="15.75" customHeight="1">
      <c r="F893" s="25"/>
      <c r="G893" s="25"/>
    </row>
    <row r="894" ht="15.75" customHeight="1">
      <c r="F894" s="25"/>
      <c r="G894" s="25"/>
    </row>
    <row r="895" ht="15.75" customHeight="1">
      <c r="F895" s="25"/>
      <c r="G895" s="25"/>
    </row>
    <row r="896" ht="15.75" customHeight="1">
      <c r="F896" s="25"/>
      <c r="G896" s="25"/>
    </row>
    <row r="897" ht="15.75" customHeight="1">
      <c r="F897" s="25"/>
      <c r="G897" s="25"/>
    </row>
    <row r="898" ht="15.75" customHeight="1">
      <c r="F898" s="25"/>
      <c r="G898" s="25"/>
    </row>
    <row r="899" ht="15.75" customHeight="1">
      <c r="F899" s="25"/>
      <c r="G899" s="25"/>
    </row>
    <row r="900" ht="15.75" customHeight="1">
      <c r="F900" s="25"/>
      <c r="G900" s="25"/>
    </row>
    <row r="901" ht="15.75" customHeight="1">
      <c r="F901" s="25"/>
      <c r="G901" s="25"/>
    </row>
    <row r="902" ht="15.75" customHeight="1">
      <c r="F902" s="25"/>
      <c r="G902" s="25"/>
    </row>
    <row r="903" ht="15.75" customHeight="1">
      <c r="F903" s="25"/>
      <c r="G903" s="25"/>
    </row>
    <row r="904" ht="15.75" customHeight="1">
      <c r="F904" s="25"/>
      <c r="G904" s="25"/>
    </row>
    <row r="905" ht="15.75" customHeight="1">
      <c r="F905" s="25"/>
      <c r="G905" s="25"/>
    </row>
    <row r="906" ht="15.75" customHeight="1">
      <c r="F906" s="25"/>
      <c r="G906" s="25"/>
    </row>
    <row r="907" ht="15.75" customHeight="1">
      <c r="F907" s="25"/>
      <c r="G907" s="25"/>
    </row>
    <row r="908" ht="15.75" customHeight="1">
      <c r="F908" s="25"/>
      <c r="G908" s="25"/>
    </row>
    <row r="909" ht="15.75" customHeight="1">
      <c r="F909" s="25"/>
      <c r="G909" s="25"/>
    </row>
    <row r="910" ht="15.75" customHeight="1">
      <c r="F910" s="25"/>
      <c r="G910" s="25"/>
    </row>
    <row r="911" ht="15.75" customHeight="1">
      <c r="F911" s="25"/>
      <c r="G911" s="25"/>
    </row>
    <row r="912" ht="15.75" customHeight="1">
      <c r="F912" s="25"/>
      <c r="G912" s="25"/>
    </row>
    <row r="913" ht="15.75" customHeight="1">
      <c r="F913" s="25"/>
      <c r="G913" s="25"/>
    </row>
    <row r="914" ht="15.75" customHeight="1">
      <c r="F914" s="25"/>
      <c r="G914" s="25"/>
    </row>
    <row r="915" ht="15.75" customHeight="1">
      <c r="F915" s="25"/>
      <c r="G915" s="25"/>
    </row>
    <row r="916" ht="15.75" customHeight="1">
      <c r="F916" s="25"/>
      <c r="G916" s="25"/>
    </row>
    <row r="917" ht="15.75" customHeight="1">
      <c r="F917" s="25"/>
      <c r="G917" s="25"/>
    </row>
    <row r="918" ht="15.75" customHeight="1">
      <c r="F918" s="25"/>
      <c r="G918" s="25"/>
    </row>
    <row r="919" ht="15.75" customHeight="1">
      <c r="F919" s="25"/>
      <c r="G919" s="25"/>
    </row>
    <row r="920" ht="15.75" customHeight="1">
      <c r="F920" s="25"/>
      <c r="G920" s="25"/>
    </row>
    <row r="921" ht="15.75" customHeight="1">
      <c r="F921" s="25"/>
      <c r="G921" s="25"/>
    </row>
    <row r="922" ht="15.75" customHeight="1">
      <c r="F922" s="25"/>
      <c r="G922" s="25"/>
    </row>
    <row r="923" ht="15.75" customHeight="1">
      <c r="F923" s="25"/>
      <c r="G923" s="25"/>
    </row>
    <row r="924" ht="15.75" customHeight="1">
      <c r="F924" s="25"/>
      <c r="G924" s="25"/>
    </row>
    <row r="925" ht="15.75" customHeight="1">
      <c r="F925" s="25"/>
      <c r="G925" s="25"/>
    </row>
    <row r="926" ht="15.75" customHeight="1">
      <c r="F926" s="25"/>
      <c r="G926" s="25"/>
    </row>
    <row r="927" ht="15.75" customHeight="1">
      <c r="F927" s="25"/>
      <c r="G927" s="25"/>
    </row>
    <row r="928" ht="15.75" customHeight="1">
      <c r="F928" s="25"/>
      <c r="G928" s="25"/>
    </row>
    <row r="929" ht="15.75" customHeight="1">
      <c r="F929" s="25"/>
      <c r="G929" s="25"/>
    </row>
    <row r="930" ht="15.75" customHeight="1">
      <c r="F930" s="25"/>
      <c r="G930" s="25"/>
    </row>
    <row r="931" ht="15.75" customHeight="1">
      <c r="F931" s="25"/>
      <c r="G931" s="25"/>
    </row>
    <row r="932" ht="15.75" customHeight="1">
      <c r="F932" s="25"/>
      <c r="G932" s="25"/>
    </row>
    <row r="933" ht="15.75" customHeight="1">
      <c r="F933" s="25"/>
      <c r="G933" s="25"/>
    </row>
    <row r="934" ht="15.75" customHeight="1">
      <c r="F934" s="25"/>
      <c r="G934" s="25"/>
    </row>
    <row r="935" ht="15.75" customHeight="1">
      <c r="F935" s="25"/>
      <c r="G935" s="25"/>
    </row>
    <row r="936" ht="15.75" customHeight="1">
      <c r="F936" s="25"/>
      <c r="G936" s="25"/>
    </row>
    <row r="937" ht="15.75" customHeight="1">
      <c r="F937" s="25"/>
      <c r="G937" s="25"/>
    </row>
    <row r="938" ht="15.75" customHeight="1">
      <c r="F938" s="25"/>
      <c r="G938" s="25"/>
    </row>
    <row r="939" ht="15.75" customHeight="1">
      <c r="F939" s="25"/>
      <c r="G939" s="25"/>
    </row>
    <row r="940" ht="15.75" customHeight="1">
      <c r="F940" s="25"/>
      <c r="G940" s="25"/>
    </row>
    <row r="941" ht="15.75" customHeight="1">
      <c r="F941" s="25"/>
      <c r="G941" s="25"/>
    </row>
    <row r="942" ht="15.75" customHeight="1">
      <c r="F942" s="25"/>
      <c r="G942" s="25"/>
    </row>
    <row r="943" ht="15.75" customHeight="1">
      <c r="F943" s="25"/>
      <c r="G943" s="25"/>
    </row>
    <row r="944" ht="15.75" customHeight="1">
      <c r="F944" s="25"/>
      <c r="G944" s="25"/>
    </row>
    <row r="945" ht="15.75" customHeight="1">
      <c r="F945" s="25"/>
      <c r="G945" s="25"/>
    </row>
    <row r="946" ht="15.75" customHeight="1">
      <c r="F946" s="25"/>
      <c r="G946" s="25"/>
    </row>
    <row r="947" ht="15.75" customHeight="1">
      <c r="F947" s="25"/>
      <c r="G947" s="25"/>
    </row>
    <row r="948" ht="15.75" customHeight="1">
      <c r="F948" s="25"/>
      <c r="G948" s="25"/>
    </row>
    <row r="949" ht="15.75" customHeight="1">
      <c r="F949" s="25"/>
      <c r="G949" s="25"/>
    </row>
    <row r="950" ht="15.75" customHeight="1">
      <c r="F950" s="25"/>
      <c r="G950" s="25"/>
    </row>
    <row r="951" ht="15.75" customHeight="1">
      <c r="F951" s="25"/>
      <c r="G951" s="25"/>
    </row>
    <row r="952" ht="15.75" customHeight="1">
      <c r="F952" s="25"/>
      <c r="G952" s="25"/>
    </row>
    <row r="953" ht="15.75" customHeight="1">
      <c r="F953" s="25"/>
      <c r="G953" s="25"/>
    </row>
    <row r="954" ht="15.75" customHeight="1">
      <c r="F954" s="25"/>
      <c r="G954" s="25"/>
    </row>
    <row r="955" ht="15.75" customHeight="1">
      <c r="F955" s="25"/>
      <c r="G955" s="25"/>
    </row>
    <row r="956" ht="15.75" customHeight="1">
      <c r="F956" s="25"/>
      <c r="G956" s="25"/>
    </row>
    <row r="957" ht="15.75" customHeight="1">
      <c r="F957" s="25"/>
      <c r="G957" s="25"/>
    </row>
    <row r="958" ht="15.75" customHeight="1">
      <c r="F958" s="25"/>
      <c r="G958" s="25"/>
    </row>
    <row r="959" ht="15.75" customHeight="1">
      <c r="F959" s="25"/>
      <c r="G959" s="25"/>
    </row>
    <row r="960" ht="15.75" customHeight="1">
      <c r="F960" s="25"/>
      <c r="G960" s="25"/>
    </row>
    <row r="961" ht="15.75" customHeight="1">
      <c r="F961" s="25"/>
      <c r="G961" s="25"/>
    </row>
    <row r="962" ht="15.75" customHeight="1">
      <c r="F962" s="25"/>
      <c r="G962" s="25"/>
    </row>
    <row r="963" ht="15.75" customHeight="1">
      <c r="F963" s="25"/>
      <c r="G963" s="25"/>
    </row>
    <row r="964" ht="15.75" customHeight="1">
      <c r="F964" s="25"/>
      <c r="G964" s="25"/>
    </row>
    <row r="965" ht="15.75" customHeight="1">
      <c r="F965" s="25"/>
      <c r="G965" s="25"/>
    </row>
    <row r="966" ht="15.75" customHeight="1">
      <c r="F966" s="25"/>
      <c r="G966" s="25"/>
    </row>
    <row r="967" ht="15.75" customHeight="1">
      <c r="F967" s="25"/>
      <c r="G967" s="25"/>
    </row>
    <row r="968" ht="15.75" customHeight="1">
      <c r="F968" s="25"/>
      <c r="G968" s="25"/>
    </row>
    <row r="969" ht="15.75" customHeight="1">
      <c r="F969" s="25"/>
      <c r="G969" s="25"/>
    </row>
    <row r="970" ht="15.75" customHeight="1">
      <c r="F970" s="25"/>
      <c r="G970" s="25"/>
    </row>
    <row r="971" ht="15.75" customHeight="1">
      <c r="F971" s="25"/>
      <c r="G971" s="25"/>
    </row>
    <row r="972" ht="15.75" customHeight="1">
      <c r="F972" s="25"/>
      <c r="G972" s="25"/>
    </row>
    <row r="973" ht="15.75" customHeight="1">
      <c r="F973" s="25"/>
      <c r="G973" s="25"/>
    </row>
    <row r="974" ht="15.75" customHeight="1">
      <c r="F974" s="25"/>
      <c r="G974" s="25"/>
    </row>
    <row r="975" ht="15.75" customHeight="1">
      <c r="F975" s="25"/>
      <c r="G975" s="25"/>
    </row>
    <row r="976" ht="15.75" customHeight="1">
      <c r="F976" s="25"/>
      <c r="G976" s="25"/>
    </row>
    <row r="977" ht="15.75" customHeight="1">
      <c r="F977" s="25"/>
      <c r="G977" s="25"/>
    </row>
    <row r="978" ht="15.75" customHeight="1">
      <c r="F978" s="25"/>
      <c r="G978" s="25"/>
    </row>
    <row r="979" ht="15.75" customHeight="1">
      <c r="F979" s="25"/>
      <c r="G979" s="25"/>
    </row>
    <row r="980" ht="15.75" customHeight="1">
      <c r="F980" s="25"/>
      <c r="G980" s="25"/>
    </row>
    <row r="981" ht="15.75" customHeight="1">
      <c r="F981" s="25"/>
      <c r="G981" s="25"/>
    </row>
    <row r="982" ht="15.75" customHeight="1">
      <c r="F982" s="25"/>
      <c r="G982" s="25"/>
    </row>
    <row r="983" ht="15.75" customHeight="1">
      <c r="F983" s="25"/>
      <c r="G983" s="25"/>
    </row>
    <row r="984" ht="15.75" customHeight="1">
      <c r="F984" s="25"/>
      <c r="G984" s="25"/>
    </row>
    <row r="985" ht="15.75" customHeight="1">
      <c r="F985" s="25"/>
      <c r="G985" s="25"/>
    </row>
    <row r="986" ht="15.75" customHeight="1">
      <c r="F986" s="25"/>
      <c r="G986" s="25"/>
    </row>
    <row r="987" ht="15.75" customHeight="1">
      <c r="F987" s="25"/>
      <c r="G987" s="25"/>
    </row>
    <row r="988" ht="15.75" customHeight="1">
      <c r="F988" s="25"/>
      <c r="G988" s="25"/>
    </row>
    <row r="989" ht="15.75" customHeight="1">
      <c r="F989" s="25"/>
      <c r="G989" s="25"/>
    </row>
    <row r="990" ht="15.75" customHeight="1">
      <c r="F990" s="25"/>
      <c r="G990" s="25"/>
    </row>
    <row r="991" ht="15.75" customHeight="1">
      <c r="F991" s="25"/>
      <c r="G991" s="25"/>
    </row>
    <row r="992" ht="15.75" customHeight="1">
      <c r="F992" s="25"/>
      <c r="G992" s="25"/>
    </row>
    <row r="993" ht="15.75" customHeight="1">
      <c r="F993" s="25"/>
      <c r="G993" s="25"/>
    </row>
    <row r="994" ht="15.75" customHeight="1">
      <c r="F994" s="25"/>
      <c r="G994" s="25"/>
    </row>
    <row r="995" ht="15.75" customHeight="1">
      <c r="F995" s="25"/>
      <c r="G995" s="25"/>
    </row>
    <row r="996" ht="15.75" customHeight="1">
      <c r="F996" s="25"/>
      <c r="G996" s="25"/>
    </row>
    <row r="997" ht="15.75" customHeight="1">
      <c r="F997" s="25"/>
      <c r="G997" s="25"/>
    </row>
    <row r="998" ht="15.75" customHeight="1">
      <c r="F998" s="25"/>
      <c r="G998" s="25"/>
    </row>
    <row r="999" ht="15.75" customHeight="1">
      <c r="F999" s="25"/>
      <c r="G999" s="25"/>
    </row>
    <row r="1000" ht="15.75" customHeight="1">
      <c r="F1000" s="25"/>
      <c r="G1000" s="25"/>
    </row>
  </sheetData>
  <mergeCells count="1">
    <mergeCell ref="A1:G1"/>
  </mergeCells>
  <dataValidations>
    <dataValidation type="list" allowBlank="1" sqref="E5:E25">
      <formula1>"1,2,3,4,5"</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48.0"/>
    <col customWidth="1" min="4" max="4" width="90.0"/>
    <col customWidth="1" min="5" max="5" width="12.0"/>
    <col customWidth="1" min="6" max="6" width="28.0"/>
    <col customWidth="1" min="7" max="7" width="35.0"/>
  </cols>
  <sheetData>
    <row r="1">
      <c r="A1" s="3" t="s">
        <v>139</v>
      </c>
    </row>
    <row r="2">
      <c r="A2" s="7" t="s">
        <v>10</v>
      </c>
      <c r="B2" s="6" t="s">
        <v>16</v>
      </c>
      <c r="C2" s="6"/>
      <c r="D2" s="6"/>
      <c r="E2" s="6"/>
      <c r="F2" s="6"/>
      <c r="G2" s="6"/>
    </row>
    <row r="4">
      <c r="A4" s="9" t="s">
        <v>1</v>
      </c>
      <c r="B4" s="9" t="s">
        <v>2</v>
      </c>
      <c r="C4" s="9" t="s">
        <v>4</v>
      </c>
      <c r="D4" s="9" t="s">
        <v>6</v>
      </c>
      <c r="E4" s="9" t="s">
        <v>34</v>
      </c>
      <c r="F4" s="9" t="s">
        <v>35</v>
      </c>
      <c r="G4" s="9" t="s">
        <v>37</v>
      </c>
    </row>
    <row r="5" ht="169.5" customHeight="1">
      <c r="A5" s="5" t="s">
        <v>40</v>
      </c>
      <c r="B5" s="6" t="s">
        <v>11</v>
      </c>
      <c r="C5" s="6" t="s">
        <v>12</v>
      </c>
      <c r="D5" s="6" t="s">
        <v>19</v>
      </c>
      <c r="E5" s="5">
        <v>5.0</v>
      </c>
      <c r="F5" s="13"/>
      <c r="G5" s="13"/>
    </row>
    <row r="6" ht="197.25" customHeight="1">
      <c r="A6" s="5" t="s">
        <v>55</v>
      </c>
      <c r="B6" s="6" t="s">
        <v>22</v>
      </c>
      <c r="C6" s="6" t="s">
        <v>23</v>
      </c>
      <c r="D6" s="6" t="s">
        <v>28</v>
      </c>
      <c r="E6" s="5">
        <v>5.0</v>
      </c>
      <c r="F6" s="13"/>
      <c r="G6" s="13"/>
    </row>
    <row r="7" ht="197.25" customHeight="1">
      <c r="A7" s="5" t="s">
        <v>63</v>
      </c>
      <c r="B7" s="6" t="s">
        <v>30</v>
      </c>
      <c r="C7" s="6" t="s">
        <v>31</v>
      </c>
      <c r="D7" s="6" t="s">
        <v>33</v>
      </c>
      <c r="E7" s="5">
        <v>3.0</v>
      </c>
      <c r="F7" s="13"/>
      <c r="G7" s="13"/>
    </row>
    <row r="8" ht="169.5" customHeight="1">
      <c r="A8" s="5" t="s">
        <v>70</v>
      </c>
      <c r="B8" s="6" t="s">
        <v>36</v>
      </c>
      <c r="C8" s="6" t="s">
        <v>38</v>
      </c>
      <c r="D8" s="6" t="s">
        <v>41</v>
      </c>
      <c r="E8" s="5">
        <v>4.0</v>
      </c>
      <c r="F8" s="13"/>
      <c r="G8" s="13"/>
    </row>
    <row r="9" ht="169.5" customHeight="1">
      <c r="A9" s="5" t="s">
        <v>71</v>
      </c>
      <c r="B9" s="6" t="s">
        <v>42</v>
      </c>
      <c r="C9" s="6" t="s">
        <v>43</v>
      </c>
      <c r="D9" s="6" t="s">
        <v>45</v>
      </c>
      <c r="E9" s="5">
        <v>5.0</v>
      </c>
      <c r="F9" s="13"/>
      <c r="G9" s="13"/>
    </row>
    <row r="10" ht="233.25" customHeight="1">
      <c r="A10" s="5" t="s">
        <v>72</v>
      </c>
      <c r="B10" s="6" t="s">
        <v>46</v>
      </c>
      <c r="C10" s="6" t="s">
        <v>47</v>
      </c>
      <c r="D10" s="6" t="s">
        <v>49</v>
      </c>
      <c r="E10" s="5">
        <v>4.0</v>
      </c>
      <c r="F10" s="13"/>
      <c r="G10" s="13"/>
    </row>
    <row r="11" ht="213.75" customHeight="1">
      <c r="A11" s="5" t="s">
        <v>74</v>
      </c>
      <c r="B11" s="6" t="s">
        <v>50</v>
      </c>
      <c r="C11" s="6" t="s">
        <v>51</v>
      </c>
      <c r="D11" s="6" t="s">
        <v>53</v>
      </c>
      <c r="E11" s="5">
        <v>4.0</v>
      </c>
      <c r="F11" s="13"/>
      <c r="G11" s="13"/>
    </row>
    <row r="12" ht="208.5" customHeight="1">
      <c r="A12" s="5" t="s">
        <v>75</v>
      </c>
      <c r="B12" s="6" t="s">
        <v>76</v>
      </c>
      <c r="C12" s="6" t="s">
        <v>57</v>
      </c>
      <c r="D12" s="6" t="s">
        <v>59</v>
      </c>
      <c r="E12" s="5">
        <v>2.0</v>
      </c>
      <c r="F12" s="13"/>
      <c r="G12" s="6" t="s">
        <v>148</v>
      </c>
    </row>
    <row r="13" ht="210.0" customHeight="1">
      <c r="A13" s="5" t="s">
        <v>78</v>
      </c>
      <c r="B13" s="6" t="s">
        <v>60</v>
      </c>
      <c r="C13" s="6" t="s">
        <v>61</v>
      </c>
      <c r="D13" s="6" t="s">
        <v>64</v>
      </c>
      <c r="E13" s="5">
        <v>5.0</v>
      </c>
      <c r="F13" s="13"/>
      <c r="G13" s="13"/>
    </row>
    <row r="14" ht="207.75" customHeight="1">
      <c r="A14" s="5" t="s">
        <v>79</v>
      </c>
      <c r="B14" s="6" t="s">
        <v>65</v>
      </c>
      <c r="C14" s="6" t="s">
        <v>66</v>
      </c>
      <c r="D14" s="6" t="s">
        <v>69</v>
      </c>
      <c r="E14" s="5">
        <v>5.0</v>
      </c>
      <c r="F14" s="13"/>
      <c r="G14" s="13"/>
    </row>
    <row r="15">
      <c r="A15" s="15" t="s">
        <v>81</v>
      </c>
      <c r="B15" s="15" t="s">
        <v>82</v>
      </c>
      <c r="C15" s="15" t="s">
        <v>83</v>
      </c>
      <c r="D15" s="15" t="s">
        <v>84</v>
      </c>
      <c r="E15" s="16">
        <v>4.0</v>
      </c>
      <c r="F15" s="18"/>
      <c r="G15" s="18"/>
    </row>
    <row r="16">
      <c r="A16" s="15" t="s">
        <v>86</v>
      </c>
      <c r="B16" s="15" t="s">
        <v>87</v>
      </c>
      <c r="C16" s="15" t="s">
        <v>88</v>
      </c>
      <c r="D16" s="15" t="s">
        <v>89</v>
      </c>
      <c r="E16" s="16">
        <v>2.0</v>
      </c>
      <c r="F16" s="18"/>
      <c r="G16" s="18"/>
    </row>
    <row r="17">
      <c r="A17" s="15" t="s">
        <v>91</v>
      </c>
      <c r="B17" s="17" t="s">
        <v>92</v>
      </c>
      <c r="C17" s="15" t="s">
        <v>93</v>
      </c>
      <c r="D17" s="15" t="s">
        <v>94</v>
      </c>
      <c r="E17" s="16">
        <v>3.0</v>
      </c>
      <c r="F17" s="18"/>
      <c r="G17" s="18"/>
    </row>
    <row r="18">
      <c r="A18" s="15" t="s">
        <v>96</v>
      </c>
      <c r="B18" s="17" t="s">
        <v>122</v>
      </c>
      <c r="C18" s="15" t="s">
        <v>98</v>
      </c>
      <c r="D18" s="15" t="s">
        <v>99</v>
      </c>
      <c r="E18" s="16">
        <v>4.0</v>
      </c>
      <c r="F18" s="18"/>
      <c r="G18" s="18"/>
    </row>
    <row r="19">
      <c r="A19" s="15" t="s">
        <v>101</v>
      </c>
      <c r="B19" s="21" t="s">
        <v>102</v>
      </c>
      <c r="C19" s="15" t="s">
        <v>104</v>
      </c>
      <c r="D19" s="15" t="s">
        <v>106</v>
      </c>
      <c r="E19" s="16">
        <v>4.0</v>
      </c>
      <c r="F19" s="18"/>
      <c r="G19" s="18"/>
    </row>
    <row r="20">
      <c r="A20" s="15" t="s">
        <v>107</v>
      </c>
      <c r="B20" s="21" t="s">
        <v>108</v>
      </c>
      <c r="C20" s="15" t="s">
        <v>109</v>
      </c>
      <c r="D20" s="15" t="s">
        <v>110</v>
      </c>
      <c r="E20" s="16">
        <v>5.0</v>
      </c>
      <c r="F20" s="18"/>
      <c r="G20" s="18"/>
    </row>
    <row r="21" ht="220.5" customHeight="1">
      <c r="A21" s="15" t="s">
        <v>112</v>
      </c>
      <c r="B21" s="17" t="s">
        <v>113</v>
      </c>
      <c r="C21" s="15" t="s">
        <v>114</v>
      </c>
      <c r="D21" s="15" t="s">
        <v>115</v>
      </c>
      <c r="E21" s="16">
        <v>5.0</v>
      </c>
      <c r="F21" s="18"/>
      <c r="G21" s="18"/>
    </row>
    <row r="22">
      <c r="A22" s="15" t="s">
        <v>116</v>
      </c>
      <c r="B22" s="15" t="s">
        <v>117</v>
      </c>
      <c r="C22" s="15" t="s">
        <v>118</v>
      </c>
      <c r="D22" s="15" t="s">
        <v>119</v>
      </c>
      <c r="E22" s="16">
        <v>3.0</v>
      </c>
      <c r="F22" s="18"/>
      <c r="G22" s="18"/>
    </row>
    <row r="23">
      <c r="A23" s="15" t="s">
        <v>121</v>
      </c>
      <c r="B23" s="15" t="s">
        <v>123</v>
      </c>
      <c r="C23" s="15" t="s">
        <v>124</v>
      </c>
      <c r="D23" s="15" t="s">
        <v>125</v>
      </c>
      <c r="E23" s="16">
        <v>2.0</v>
      </c>
      <c r="F23" s="18"/>
      <c r="G23" s="18"/>
    </row>
    <row r="24">
      <c r="A24" s="15" t="s">
        <v>128</v>
      </c>
      <c r="B24" s="15" t="s">
        <v>129</v>
      </c>
      <c r="C24" s="15" t="s">
        <v>130</v>
      </c>
      <c r="D24" s="15" t="s">
        <v>131</v>
      </c>
      <c r="E24" s="16">
        <v>5.0</v>
      </c>
      <c r="F24" s="18"/>
      <c r="G24" s="18"/>
    </row>
    <row r="25">
      <c r="A25" s="15" t="s">
        <v>133</v>
      </c>
      <c r="B25" s="15" t="s">
        <v>134</v>
      </c>
      <c r="C25" s="15" t="s">
        <v>135</v>
      </c>
      <c r="D25" s="15" t="s">
        <v>136</v>
      </c>
      <c r="E25" s="16">
        <v>5.0</v>
      </c>
      <c r="F25" s="18"/>
      <c r="G25" s="1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sheetData>
  <mergeCells count="1">
    <mergeCell ref="A1:G1"/>
  </mergeCells>
  <dataValidations>
    <dataValidation type="list" allowBlank="1" sqref="E5:E25">
      <formula1>"1,2,3,4,5"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5.0"/>
    <col customWidth="1" min="3" max="6" width="11.0"/>
    <col customWidth="1" min="7" max="8" width="14.0"/>
    <col customWidth="1" min="9" max="9" width="15.0"/>
  </cols>
  <sheetData>
    <row r="1">
      <c r="A1" s="30" t="s">
        <v>1</v>
      </c>
      <c r="B1" s="30" t="s">
        <v>2</v>
      </c>
      <c r="C1" s="30" t="s">
        <v>154</v>
      </c>
      <c r="D1" s="30" t="s">
        <v>155</v>
      </c>
      <c r="E1" s="30" t="s">
        <v>156</v>
      </c>
      <c r="F1" s="30" t="s">
        <v>157</v>
      </c>
      <c r="G1" s="30" t="s">
        <v>158</v>
      </c>
      <c r="H1" s="30" t="s">
        <v>159</v>
      </c>
      <c r="I1" s="30" t="s">
        <v>160</v>
      </c>
      <c r="J1" s="18"/>
      <c r="K1" s="18"/>
      <c r="L1" s="18"/>
      <c r="M1" s="18"/>
      <c r="N1" s="18"/>
      <c r="O1" s="18"/>
      <c r="P1" s="18"/>
      <c r="Q1" s="18"/>
      <c r="R1" s="18"/>
      <c r="S1" s="18"/>
      <c r="T1" s="18"/>
      <c r="U1" s="18"/>
      <c r="V1" s="18"/>
      <c r="W1" s="18"/>
      <c r="X1" s="18"/>
      <c r="Y1" s="18"/>
      <c r="Z1" s="18"/>
    </row>
    <row r="2">
      <c r="A2" s="5" t="s">
        <v>40</v>
      </c>
      <c r="B2" s="6" t="s">
        <v>11</v>
      </c>
      <c r="C2" s="5">
        <f>Anotador_1!E5</f>
        <v>5</v>
      </c>
      <c r="D2" s="5">
        <f>Anotador_2!E5</f>
        <v>5</v>
      </c>
      <c r="E2" s="5">
        <f>Anotador_3!E5</f>
        <v>4</v>
      </c>
      <c r="F2" s="5">
        <f>Anotador_4!E5</f>
        <v>5</v>
      </c>
      <c r="G2" s="31">
        <f t="shared" ref="G2:G23" si="1">IF(COUNT(C2:F2)=0,"",AVERAGE(C2:F2))</f>
        <v>4.75</v>
      </c>
      <c r="H2" s="31">
        <f t="shared" ref="H2:H23" si="2">IF(COUNT(C2:F2)&lt;2,"",_xlfn.STDEV.S(C2:F2))</f>
        <v>0.5</v>
      </c>
      <c r="I2" s="5">
        <f t="shared" ref="I2:I23" si="3">COUNTIF(C2:F2,"&gt;=4")</f>
        <v>4</v>
      </c>
      <c r="J2" s="18"/>
      <c r="K2" s="18"/>
      <c r="L2" s="18"/>
      <c r="M2" s="18"/>
      <c r="N2" s="18"/>
      <c r="O2" s="18"/>
      <c r="P2" s="18"/>
      <c r="Q2" s="18"/>
      <c r="R2" s="18"/>
      <c r="S2" s="18"/>
      <c r="T2" s="18"/>
      <c r="U2" s="18"/>
      <c r="V2" s="18"/>
      <c r="W2" s="18"/>
      <c r="X2" s="18"/>
      <c r="Y2" s="18"/>
      <c r="Z2" s="18"/>
    </row>
    <row r="3">
      <c r="A3" s="5" t="s">
        <v>55</v>
      </c>
      <c r="B3" s="6" t="s">
        <v>22</v>
      </c>
      <c r="C3" s="5">
        <f>Anotador_1!E6</f>
        <v>5</v>
      </c>
      <c r="D3" s="5">
        <f>Anotador_2!E6</f>
        <v>5</v>
      </c>
      <c r="E3" s="5">
        <f>Anotador_3!E6</f>
        <v>4</v>
      </c>
      <c r="F3" s="5">
        <f>Anotador_4!E6</f>
        <v>5</v>
      </c>
      <c r="G3" s="31">
        <f t="shared" si="1"/>
        <v>4.75</v>
      </c>
      <c r="H3" s="31">
        <f t="shared" si="2"/>
        <v>0.5</v>
      </c>
      <c r="I3" s="5">
        <f t="shared" si="3"/>
        <v>4</v>
      </c>
      <c r="J3" s="18"/>
      <c r="K3" s="18"/>
      <c r="L3" s="18"/>
      <c r="M3" s="18"/>
      <c r="N3" s="18"/>
      <c r="O3" s="18"/>
      <c r="P3" s="18"/>
      <c r="Q3" s="18"/>
      <c r="R3" s="18"/>
      <c r="S3" s="18"/>
      <c r="T3" s="18"/>
      <c r="U3" s="18"/>
      <c r="V3" s="18"/>
      <c r="W3" s="18"/>
      <c r="X3" s="18"/>
      <c r="Y3" s="18"/>
      <c r="Z3" s="18"/>
    </row>
    <row r="4">
      <c r="A4" s="5" t="s">
        <v>63</v>
      </c>
      <c r="B4" s="6" t="s">
        <v>30</v>
      </c>
      <c r="C4" s="5">
        <f>Anotador_1!E7</f>
        <v>4</v>
      </c>
      <c r="D4" s="5">
        <f>Anotador_2!E7</f>
        <v>4</v>
      </c>
      <c r="E4" s="5">
        <f>Anotador_3!E7</f>
        <v>5</v>
      </c>
      <c r="F4" s="5">
        <f>Anotador_4!E7</f>
        <v>3</v>
      </c>
      <c r="G4" s="31">
        <f t="shared" si="1"/>
        <v>4</v>
      </c>
      <c r="H4" s="31">
        <f t="shared" si="2"/>
        <v>0.8164965809</v>
      </c>
      <c r="I4" s="5">
        <f t="shared" si="3"/>
        <v>3</v>
      </c>
      <c r="J4" s="18"/>
      <c r="K4" s="18"/>
      <c r="L4" s="18"/>
      <c r="M4" s="18"/>
      <c r="N4" s="18"/>
      <c r="O4" s="18"/>
      <c r="P4" s="18"/>
      <c r="Q4" s="18"/>
      <c r="R4" s="18"/>
      <c r="S4" s="18"/>
      <c r="T4" s="18"/>
      <c r="U4" s="18"/>
      <c r="V4" s="18"/>
      <c r="W4" s="18"/>
      <c r="X4" s="18"/>
      <c r="Y4" s="18"/>
      <c r="Z4" s="18"/>
    </row>
    <row r="5">
      <c r="A5" s="5" t="s">
        <v>70</v>
      </c>
      <c r="B5" s="6" t="s">
        <v>36</v>
      </c>
      <c r="C5" s="5">
        <f>Anotador_1!E8</f>
        <v>4</v>
      </c>
      <c r="D5" s="5">
        <f>Anotador_2!E8</f>
        <v>5</v>
      </c>
      <c r="E5" s="5">
        <f>Anotador_3!E8</f>
        <v>5</v>
      </c>
      <c r="F5" s="5">
        <f>Anotador_4!E8</f>
        <v>4</v>
      </c>
      <c r="G5" s="31">
        <f t="shared" si="1"/>
        <v>4.5</v>
      </c>
      <c r="H5" s="31">
        <f t="shared" si="2"/>
        <v>0.5773502692</v>
      </c>
      <c r="I5" s="5">
        <f t="shared" si="3"/>
        <v>4</v>
      </c>
      <c r="J5" s="18"/>
      <c r="K5" s="18"/>
      <c r="L5" s="18"/>
      <c r="M5" s="18"/>
      <c r="N5" s="18"/>
      <c r="O5" s="18"/>
      <c r="P5" s="18"/>
      <c r="Q5" s="18"/>
      <c r="R5" s="18"/>
      <c r="S5" s="18"/>
      <c r="T5" s="18"/>
      <c r="U5" s="18"/>
      <c r="V5" s="18"/>
      <c r="W5" s="18"/>
      <c r="X5" s="18"/>
      <c r="Y5" s="18"/>
      <c r="Z5" s="18"/>
    </row>
    <row r="6">
      <c r="A6" s="5" t="s">
        <v>71</v>
      </c>
      <c r="B6" s="6" t="s">
        <v>42</v>
      </c>
      <c r="C6" s="5">
        <f>Anotador_1!E9</f>
        <v>5</v>
      </c>
      <c r="D6" s="5">
        <f>Anotador_2!E9</f>
        <v>5</v>
      </c>
      <c r="E6" s="5">
        <f>Anotador_3!E9</f>
        <v>5</v>
      </c>
      <c r="F6" s="5">
        <f>Anotador_4!E9</f>
        <v>5</v>
      </c>
      <c r="G6" s="31">
        <f t="shared" si="1"/>
        <v>5</v>
      </c>
      <c r="H6" s="31">
        <f t="shared" si="2"/>
        <v>0</v>
      </c>
      <c r="I6" s="5">
        <f t="shared" si="3"/>
        <v>4</v>
      </c>
      <c r="J6" s="18"/>
      <c r="K6" s="18"/>
      <c r="L6" s="18"/>
      <c r="M6" s="18"/>
      <c r="N6" s="18"/>
      <c r="O6" s="18"/>
      <c r="P6" s="18"/>
      <c r="Q6" s="18"/>
      <c r="R6" s="18"/>
      <c r="S6" s="18"/>
      <c r="T6" s="18"/>
      <c r="U6" s="18"/>
      <c r="V6" s="18"/>
      <c r="W6" s="18"/>
      <c r="X6" s="18"/>
      <c r="Y6" s="18"/>
      <c r="Z6" s="18"/>
    </row>
    <row r="7">
      <c r="A7" s="5" t="s">
        <v>72</v>
      </c>
      <c r="B7" s="6" t="s">
        <v>46</v>
      </c>
      <c r="C7" s="5">
        <f>Anotador_1!E10</f>
        <v>5</v>
      </c>
      <c r="D7" s="5">
        <f>Anotador_2!E10</f>
        <v>4</v>
      </c>
      <c r="E7" s="5">
        <f>Anotador_3!E10</f>
        <v>3</v>
      </c>
      <c r="F7" s="5">
        <f>Anotador_4!E10</f>
        <v>4</v>
      </c>
      <c r="G7" s="31">
        <f t="shared" si="1"/>
        <v>4</v>
      </c>
      <c r="H7" s="31">
        <f t="shared" si="2"/>
        <v>0.8164965809</v>
      </c>
      <c r="I7" s="5">
        <f t="shared" si="3"/>
        <v>3</v>
      </c>
      <c r="J7" s="18"/>
      <c r="K7" s="18"/>
      <c r="L7" s="18"/>
      <c r="M7" s="18"/>
      <c r="N7" s="18"/>
      <c r="O7" s="18"/>
      <c r="P7" s="18"/>
      <c r="Q7" s="18"/>
      <c r="R7" s="18"/>
      <c r="S7" s="18"/>
      <c r="T7" s="18"/>
      <c r="U7" s="18"/>
      <c r="V7" s="18"/>
      <c r="W7" s="18"/>
      <c r="X7" s="18"/>
      <c r="Y7" s="18"/>
      <c r="Z7" s="18"/>
    </row>
    <row r="8">
      <c r="A8" s="5" t="s">
        <v>74</v>
      </c>
      <c r="B8" s="6" t="s">
        <v>50</v>
      </c>
      <c r="C8" s="5">
        <f>Anotador_1!E11</f>
        <v>5</v>
      </c>
      <c r="D8" s="5">
        <f>Anotador_2!E11</f>
        <v>5</v>
      </c>
      <c r="E8" s="5">
        <f>Anotador_3!E11</f>
        <v>5</v>
      </c>
      <c r="F8" s="5">
        <f>Anotador_4!E11</f>
        <v>4</v>
      </c>
      <c r="G8" s="31">
        <f t="shared" si="1"/>
        <v>4.75</v>
      </c>
      <c r="H8" s="31">
        <f t="shared" si="2"/>
        <v>0.5</v>
      </c>
      <c r="I8" s="5">
        <f t="shared" si="3"/>
        <v>4</v>
      </c>
      <c r="J8" s="18"/>
      <c r="K8" s="18"/>
      <c r="L8" s="18"/>
      <c r="M8" s="18"/>
      <c r="N8" s="18"/>
      <c r="O8" s="18"/>
      <c r="P8" s="18"/>
      <c r="Q8" s="18"/>
      <c r="R8" s="18"/>
      <c r="S8" s="18"/>
      <c r="T8" s="18"/>
      <c r="U8" s="18"/>
      <c r="V8" s="18"/>
      <c r="W8" s="18"/>
      <c r="X8" s="18"/>
      <c r="Y8" s="18"/>
      <c r="Z8" s="18"/>
    </row>
    <row r="9">
      <c r="A9" s="5" t="s">
        <v>75</v>
      </c>
      <c r="B9" s="6" t="s">
        <v>76</v>
      </c>
      <c r="C9" s="5">
        <f>Anotador_1!E12</f>
        <v>5</v>
      </c>
      <c r="D9" s="5">
        <f>Anotador_2!E12</f>
        <v>4</v>
      </c>
      <c r="E9" s="5">
        <f>Anotador_3!E12</f>
        <v>5</v>
      </c>
      <c r="F9" s="5">
        <f>Anotador_4!E12</f>
        <v>2</v>
      </c>
      <c r="G9" s="31">
        <f t="shared" si="1"/>
        <v>4</v>
      </c>
      <c r="H9" s="31">
        <f t="shared" si="2"/>
        <v>1.414213562</v>
      </c>
      <c r="I9" s="5">
        <f t="shared" si="3"/>
        <v>3</v>
      </c>
      <c r="J9" s="18"/>
      <c r="K9" s="18"/>
      <c r="L9" s="18"/>
      <c r="M9" s="18"/>
      <c r="N9" s="18"/>
      <c r="O9" s="18"/>
      <c r="P9" s="18"/>
      <c r="Q9" s="18"/>
      <c r="R9" s="18"/>
      <c r="S9" s="18"/>
      <c r="T9" s="18"/>
      <c r="U9" s="18"/>
      <c r="V9" s="18"/>
      <c r="W9" s="18"/>
      <c r="X9" s="18"/>
      <c r="Y9" s="18"/>
      <c r="Z9" s="18"/>
    </row>
    <row r="10">
      <c r="A10" s="5" t="s">
        <v>78</v>
      </c>
      <c r="B10" s="6" t="s">
        <v>60</v>
      </c>
      <c r="C10" s="5">
        <f>Anotador_1!E13</f>
        <v>5</v>
      </c>
      <c r="D10" s="5">
        <f>Anotador_2!E13</f>
        <v>5</v>
      </c>
      <c r="E10" s="5">
        <f>Anotador_3!E13</f>
        <v>5</v>
      </c>
      <c r="F10" s="5">
        <f>Anotador_4!E13</f>
        <v>5</v>
      </c>
      <c r="G10" s="31">
        <f t="shared" si="1"/>
        <v>5</v>
      </c>
      <c r="H10" s="31">
        <f t="shared" si="2"/>
        <v>0</v>
      </c>
      <c r="I10" s="5">
        <f t="shared" si="3"/>
        <v>4</v>
      </c>
      <c r="J10" s="18"/>
      <c r="K10" s="18"/>
      <c r="L10" s="18"/>
      <c r="M10" s="18"/>
      <c r="N10" s="18"/>
      <c r="O10" s="18"/>
      <c r="P10" s="18"/>
      <c r="Q10" s="18"/>
      <c r="R10" s="18"/>
      <c r="S10" s="18"/>
      <c r="T10" s="18"/>
      <c r="U10" s="18"/>
      <c r="V10" s="18"/>
      <c r="W10" s="18"/>
      <c r="X10" s="18"/>
      <c r="Y10" s="18"/>
      <c r="Z10" s="18"/>
    </row>
    <row r="11">
      <c r="A11" s="5" t="s">
        <v>79</v>
      </c>
      <c r="B11" s="6" t="s">
        <v>65</v>
      </c>
      <c r="C11" s="5">
        <f>Anotador_1!E14</f>
        <v>5</v>
      </c>
      <c r="D11" s="5">
        <f>Anotador_2!E14</f>
        <v>4</v>
      </c>
      <c r="E11" s="5">
        <f>Anotador_3!E14</f>
        <v>5</v>
      </c>
      <c r="F11" s="5">
        <f>Anotador_4!E14</f>
        <v>5</v>
      </c>
      <c r="G11" s="31">
        <f t="shared" si="1"/>
        <v>4.75</v>
      </c>
      <c r="H11" s="31">
        <f t="shared" si="2"/>
        <v>0.5</v>
      </c>
      <c r="I11" s="5">
        <f t="shared" si="3"/>
        <v>4</v>
      </c>
      <c r="J11" s="18"/>
      <c r="K11" s="18"/>
      <c r="L11" s="18"/>
      <c r="M11" s="18"/>
      <c r="N11" s="18"/>
      <c r="O11" s="18"/>
      <c r="P11" s="18"/>
      <c r="Q11" s="18"/>
      <c r="R11" s="18"/>
      <c r="S11" s="18"/>
      <c r="T11" s="18"/>
      <c r="U11" s="18"/>
      <c r="V11" s="18"/>
      <c r="W11" s="18"/>
      <c r="X11" s="18"/>
      <c r="Y11" s="18"/>
      <c r="Z11" s="18"/>
    </row>
    <row r="12">
      <c r="A12" s="32" t="s">
        <v>81</v>
      </c>
      <c r="B12" s="27" t="s">
        <v>82</v>
      </c>
      <c r="C12" s="33">
        <f>IF(Anotador_1!E15="","",Anotador_1!E15)</f>
        <v>5</v>
      </c>
      <c r="D12" s="34">
        <v>3.0</v>
      </c>
      <c r="E12" s="34">
        <v>5.0</v>
      </c>
      <c r="F12" s="34">
        <v>4.0</v>
      </c>
      <c r="G12" s="35">
        <f t="shared" si="1"/>
        <v>4.25</v>
      </c>
      <c r="H12" s="18">
        <f t="shared" si="2"/>
        <v>0.9574271078</v>
      </c>
      <c r="I12" s="36">
        <f t="shared" si="3"/>
        <v>3</v>
      </c>
      <c r="J12" s="18"/>
      <c r="K12" s="18"/>
      <c r="L12" s="18"/>
      <c r="M12" s="18"/>
      <c r="N12" s="18"/>
      <c r="O12" s="18"/>
      <c r="P12" s="18"/>
      <c r="Q12" s="18"/>
      <c r="R12" s="18"/>
      <c r="S12" s="18"/>
      <c r="T12" s="18"/>
      <c r="U12" s="18"/>
      <c r="V12" s="18"/>
      <c r="W12" s="18"/>
      <c r="X12" s="18"/>
      <c r="Y12" s="18"/>
      <c r="Z12" s="18"/>
    </row>
    <row r="13">
      <c r="A13" s="32" t="s">
        <v>86</v>
      </c>
      <c r="B13" s="27" t="s">
        <v>87</v>
      </c>
      <c r="C13" s="35">
        <f>IF(Anotador_1!E16="","",Anotador_1!E16)</f>
        <v>3</v>
      </c>
      <c r="D13" s="35">
        <f>IF(Anotador_2!E16="","",Anotador_2!E16)</f>
        <v>1</v>
      </c>
      <c r="E13" s="35">
        <f>IF(Anotador_3!E16="","",Anotador_3!E16)</f>
        <v>4</v>
      </c>
      <c r="F13" s="35">
        <f>IF(Anotador_4!E16="","",Anotador_4!E16)</f>
        <v>2</v>
      </c>
      <c r="G13" s="35">
        <f t="shared" si="1"/>
        <v>2.5</v>
      </c>
      <c r="H13" s="18">
        <f t="shared" si="2"/>
        <v>1.290994449</v>
      </c>
      <c r="I13" s="36">
        <f t="shared" si="3"/>
        <v>1</v>
      </c>
      <c r="J13" s="18"/>
      <c r="K13" s="18"/>
      <c r="L13" s="18"/>
      <c r="M13" s="18"/>
      <c r="N13" s="18"/>
      <c r="O13" s="18"/>
      <c r="P13" s="18"/>
      <c r="Q13" s="18"/>
      <c r="R13" s="18"/>
      <c r="S13" s="18"/>
      <c r="T13" s="18"/>
      <c r="U13" s="18"/>
      <c r="V13" s="18"/>
      <c r="W13" s="18"/>
      <c r="X13" s="18"/>
      <c r="Y13" s="18"/>
      <c r="Z13" s="18"/>
    </row>
    <row r="14">
      <c r="A14" s="5" t="s">
        <v>91</v>
      </c>
      <c r="B14" s="29" t="s">
        <v>92</v>
      </c>
      <c r="C14" s="35">
        <f>IF(Anotador_1!E17="","",Anotador_1!E17)</f>
        <v>5</v>
      </c>
      <c r="D14" s="35">
        <f>IF(Anotador_2!E17="","",Anotador_2!E17)</f>
        <v>4</v>
      </c>
      <c r="E14" s="35">
        <f>IF(Anotador_3!E17="","",Anotador_3!E17)</f>
        <v>5</v>
      </c>
      <c r="F14" s="35">
        <f>IF(Anotador_4!E17="","",Anotador_4!E17)</f>
        <v>3</v>
      </c>
      <c r="G14" s="35">
        <f t="shared" si="1"/>
        <v>4.25</v>
      </c>
      <c r="H14" s="18">
        <f t="shared" si="2"/>
        <v>0.9574271078</v>
      </c>
      <c r="I14" s="36">
        <f t="shared" si="3"/>
        <v>3</v>
      </c>
      <c r="J14" s="18"/>
      <c r="K14" s="18"/>
      <c r="L14" s="18"/>
      <c r="M14" s="18"/>
      <c r="N14" s="18"/>
      <c r="O14" s="18"/>
      <c r="P14" s="18"/>
      <c r="Q14" s="18"/>
      <c r="R14" s="18"/>
      <c r="S14" s="18"/>
      <c r="T14" s="18"/>
      <c r="U14" s="18"/>
      <c r="V14" s="18"/>
      <c r="W14" s="18"/>
      <c r="X14" s="18"/>
      <c r="Y14" s="18"/>
      <c r="Z14" s="18"/>
    </row>
    <row r="15">
      <c r="A15" s="5" t="s">
        <v>96</v>
      </c>
      <c r="B15" s="37" t="s">
        <v>122</v>
      </c>
      <c r="C15" s="35">
        <f>IF(Anotador_1!E18="","",Anotador_1!E18)</f>
        <v>4</v>
      </c>
      <c r="D15" s="35">
        <f>IF(Anotador_2!E18="","",Anotador_2!E18)</f>
        <v>1</v>
      </c>
      <c r="E15" s="35">
        <f>IF(Anotador_3!E18="","",Anotador_3!E18)</f>
        <v>4</v>
      </c>
      <c r="F15" s="35">
        <f>IF(Anotador_4!E18="","",Anotador_4!E18)</f>
        <v>4</v>
      </c>
      <c r="G15" s="35">
        <f t="shared" si="1"/>
        <v>3.25</v>
      </c>
      <c r="H15" s="18">
        <f t="shared" si="2"/>
        <v>1.5</v>
      </c>
      <c r="I15" s="36">
        <f t="shared" si="3"/>
        <v>3</v>
      </c>
      <c r="J15" s="18"/>
      <c r="K15" s="18"/>
      <c r="L15" s="18"/>
      <c r="M15" s="18"/>
      <c r="N15" s="18"/>
      <c r="O15" s="18"/>
      <c r="P15" s="18"/>
      <c r="Q15" s="18"/>
      <c r="R15" s="18"/>
      <c r="S15" s="18"/>
      <c r="T15" s="18"/>
      <c r="U15" s="18"/>
      <c r="V15" s="18"/>
      <c r="W15" s="18"/>
      <c r="X15" s="18"/>
      <c r="Y15" s="18"/>
      <c r="Z15" s="18"/>
    </row>
    <row r="16">
      <c r="A16" s="5" t="s">
        <v>101</v>
      </c>
      <c r="B16" s="29" t="s">
        <v>102</v>
      </c>
      <c r="C16" s="35">
        <f>IF(Anotador_1!E19="","",Anotador_1!E19)</f>
        <v>5</v>
      </c>
      <c r="D16" s="35">
        <f>IF(Anotador_2!E19="","",Anotador_2!E19)</f>
        <v>5</v>
      </c>
      <c r="E16" s="35">
        <f>IF(Anotador_3!E19="","",Anotador_3!E19)</f>
        <v>5</v>
      </c>
      <c r="F16" s="35">
        <f>IF(Anotador_4!E19="","",Anotador_4!E19)</f>
        <v>4</v>
      </c>
      <c r="G16" s="35">
        <f t="shared" si="1"/>
        <v>4.75</v>
      </c>
      <c r="H16" s="18">
        <f t="shared" si="2"/>
        <v>0.5</v>
      </c>
      <c r="I16" s="36">
        <f t="shared" si="3"/>
        <v>4</v>
      </c>
      <c r="J16" s="18"/>
      <c r="K16" s="18"/>
      <c r="L16" s="18"/>
      <c r="M16" s="18"/>
      <c r="N16" s="18"/>
      <c r="O16" s="18"/>
      <c r="P16" s="18"/>
      <c r="Q16" s="18"/>
      <c r="R16" s="18"/>
      <c r="S16" s="18"/>
      <c r="T16" s="18"/>
      <c r="U16" s="18"/>
      <c r="V16" s="18"/>
      <c r="W16" s="18"/>
      <c r="X16" s="18"/>
      <c r="Y16" s="18"/>
      <c r="Z16" s="18"/>
    </row>
    <row r="17">
      <c r="A17" s="5" t="s">
        <v>107</v>
      </c>
      <c r="B17" s="29" t="s">
        <v>108</v>
      </c>
      <c r="C17" s="35">
        <f>IF(Anotador_1!E20="","",Anotador_1!E20)</f>
        <v>4</v>
      </c>
      <c r="D17" s="35">
        <f>IF(Anotador_2!E20="","",Anotador_2!E20)</f>
        <v>3</v>
      </c>
      <c r="E17" s="35">
        <f>IF(Anotador_3!E20="","",Anotador_3!E20)</f>
        <v>5</v>
      </c>
      <c r="F17" s="35">
        <f>IF(Anotador_4!E20="","",Anotador_4!E20)</f>
        <v>5</v>
      </c>
      <c r="G17" s="35">
        <f t="shared" si="1"/>
        <v>4.25</v>
      </c>
      <c r="H17" s="18">
        <f t="shared" si="2"/>
        <v>0.9574271078</v>
      </c>
      <c r="I17" s="36">
        <f t="shared" si="3"/>
        <v>3</v>
      </c>
      <c r="J17" s="18"/>
      <c r="K17" s="18"/>
      <c r="L17" s="18"/>
      <c r="M17" s="18"/>
      <c r="N17" s="18"/>
      <c r="O17" s="18"/>
      <c r="P17" s="18"/>
      <c r="Q17" s="18"/>
      <c r="R17" s="18"/>
      <c r="S17" s="18"/>
      <c r="T17" s="18"/>
      <c r="U17" s="18"/>
      <c r="V17" s="18"/>
      <c r="W17" s="18"/>
      <c r="X17" s="18"/>
      <c r="Y17" s="18"/>
      <c r="Z17" s="18"/>
    </row>
    <row r="18">
      <c r="A18" s="5" t="s">
        <v>112</v>
      </c>
      <c r="B18" s="29" t="s">
        <v>113</v>
      </c>
      <c r="C18" s="35">
        <f>IF(Anotador_1!E21="","",Anotador_1!E21)</f>
        <v>5</v>
      </c>
      <c r="D18" s="35">
        <f>IF(Anotador_2!E21="","",Anotador_2!E21)</f>
        <v>5</v>
      </c>
      <c r="E18" s="35">
        <f>IF(Anotador_3!E21="","",Anotador_3!E21)</f>
        <v>5</v>
      </c>
      <c r="F18" s="35">
        <f>IF(Anotador_4!E21="","",Anotador_4!E21)</f>
        <v>5</v>
      </c>
      <c r="G18" s="35">
        <f t="shared" si="1"/>
        <v>5</v>
      </c>
      <c r="H18" s="18">
        <f t="shared" si="2"/>
        <v>0</v>
      </c>
      <c r="I18" s="36">
        <f t="shared" si="3"/>
        <v>4</v>
      </c>
      <c r="J18" s="18"/>
      <c r="K18" s="18"/>
      <c r="L18" s="18"/>
      <c r="M18" s="18"/>
      <c r="N18" s="18"/>
      <c r="O18" s="18"/>
      <c r="P18" s="18"/>
      <c r="Q18" s="18"/>
      <c r="R18" s="18"/>
      <c r="S18" s="18"/>
      <c r="T18" s="18"/>
      <c r="U18" s="18"/>
      <c r="V18" s="18"/>
      <c r="W18" s="18"/>
      <c r="X18" s="18"/>
      <c r="Y18" s="18"/>
      <c r="Z18" s="18"/>
    </row>
    <row r="19">
      <c r="A19" s="5" t="s">
        <v>116</v>
      </c>
      <c r="B19" s="6" t="s">
        <v>117</v>
      </c>
      <c r="C19" s="35">
        <f>IF(Anotador_1!E22="","",Anotador_1!E22)</f>
        <v>4</v>
      </c>
      <c r="D19" s="35">
        <f>IF(Anotador_2!E22="","",Anotador_2!E22)</f>
        <v>1</v>
      </c>
      <c r="E19" s="35">
        <f>IF(Anotador_3!E23="","",Anotador_3!E23)</f>
        <v>4</v>
      </c>
      <c r="F19" s="35">
        <f>IF(Anotador_4!E22="","",Anotador_4!E22)</f>
        <v>3</v>
      </c>
      <c r="G19" s="35">
        <f t="shared" si="1"/>
        <v>3</v>
      </c>
      <c r="H19" s="18">
        <f t="shared" si="2"/>
        <v>1.414213562</v>
      </c>
      <c r="I19" s="36">
        <f t="shared" si="3"/>
        <v>2</v>
      </c>
      <c r="J19" s="18"/>
      <c r="K19" s="18"/>
      <c r="L19" s="18"/>
      <c r="M19" s="18"/>
      <c r="N19" s="18"/>
      <c r="O19" s="18"/>
      <c r="P19" s="18"/>
      <c r="Q19" s="18"/>
      <c r="R19" s="18"/>
      <c r="S19" s="18"/>
      <c r="T19" s="18"/>
      <c r="U19" s="18"/>
      <c r="V19" s="18"/>
      <c r="W19" s="18"/>
      <c r="X19" s="18"/>
      <c r="Y19" s="18"/>
      <c r="Z19" s="18"/>
    </row>
    <row r="20">
      <c r="A20" s="5" t="s">
        <v>121</v>
      </c>
      <c r="B20" s="6" t="s">
        <v>123</v>
      </c>
      <c r="C20" s="35">
        <f>IF(Anotador_1!E23="","",Anotador_1!E23)</f>
        <v>4</v>
      </c>
      <c r="D20" s="35">
        <f>IF(Anotador_2!E23="","",Anotador_2!E23)</f>
        <v>1</v>
      </c>
      <c r="E20" s="35">
        <f>IF(Anotador_3!E22="","",Anotador_3!E22)</f>
        <v>3</v>
      </c>
      <c r="F20" s="35">
        <f>IF(Anotador_4!E23="","",Anotador_4!E23)</f>
        <v>2</v>
      </c>
      <c r="G20" s="35">
        <f t="shared" si="1"/>
        <v>2.5</v>
      </c>
      <c r="H20" s="18">
        <f t="shared" si="2"/>
        <v>1.290994449</v>
      </c>
      <c r="I20" s="36">
        <f t="shared" si="3"/>
        <v>1</v>
      </c>
      <c r="J20" s="18"/>
      <c r="K20" s="18"/>
      <c r="L20" s="18"/>
      <c r="M20" s="18"/>
      <c r="N20" s="18"/>
      <c r="O20" s="18"/>
      <c r="P20" s="18"/>
      <c r="Q20" s="18"/>
      <c r="R20" s="18"/>
      <c r="S20" s="18"/>
      <c r="T20" s="18"/>
      <c r="U20" s="18"/>
      <c r="V20" s="18"/>
      <c r="W20" s="18"/>
      <c r="X20" s="18"/>
      <c r="Y20" s="18"/>
      <c r="Z20" s="18"/>
    </row>
    <row r="21" ht="15.75" customHeight="1">
      <c r="A21" s="32" t="s">
        <v>128</v>
      </c>
      <c r="B21" s="27" t="s">
        <v>129</v>
      </c>
      <c r="C21" s="35">
        <f>IF(Anotador_1!E24="","",Anotador_1!E24)</f>
        <v>5</v>
      </c>
      <c r="D21" s="35">
        <f>IF(Anotador_2!E24="","",Anotador_2!E24)</f>
        <v>3</v>
      </c>
      <c r="E21" s="35">
        <f>IF(Anotador_3!E25="","",Anotador_3!E25)</f>
        <v>5</v>
      </c>
      <c r="F21" s="35">
        <f>IF(Anotador_4!E24="","",Anotador_4!E24)</f>
        <v>5</v>
      </c>
      <c r="G21" s="35">
        <f t="shared" si="1"/>
        <v>4.5</v>
      </c>
      <c r="H21" s="18">
        <f t="shared" si="2"/>
        <v>1</v>
      </c>
      <c r="I21" s="36">
        <f t="shared" si="3"/>
        <v>3</v>
      </c>
      <c r="J21" s="18"/>
      <c r="K21" s="18"/>
      <c r="L21" s="18"/>
      <c r="M21" s="18"/>
      <c r="N21" s="18"/>
      <c r="O21" s="18"/>
      <c r="P21" s="18"/>
      <c r="Q21" s="18"/>
      <c r="R21" s="18"/>
      <c r="S21" s="18"/>
      <c r="T21" s="18"/>
      <c r="U21" s="18"/>
      <c r="V21" s="18"/>
      <c r="W21" s="18"/>
      <c r="X21" s="18"/>
      <c r="Y21" s="18"/>
      <c r="Z21" s="18"/>
    </row>
    <row r="22" ht="15.75" customHeight="1">
      <c r="A22" s="32" t="s">
        <v>133</v>
      </c>
      <c r="B22" s="27" t="s">
        <v>134</v>
      </c>
      <c r="C22" s="35">
        <f>IF(Anotador_1!E25="","",Anotador_1!E25)</f>
        <v>5</v>
      </c>
      <c r="D22" s="35">
        <f>IF(Anotador_2!E25="","",Anotador_2!E25)</f>
        <v>5</v>
      </c>
      <c r="E22" s="35">
        <f>IF(Anotador_3!E24="","",Anotador_3!E24)</f>
        <v>5</v>
      </c>
      <c r="F22" s="35">
        <f>IF(Anotador_4!E25="","",Anotador_4!E25)</f>
        <v>5</v>
      </c>
      <c r="G22" s="35">
        <f t="shared" si="1"/>
        <v>5</v>
      </c>
      <c r="H22" s="18">
        <f t="shared" si="2"/>
        <v>0</v>
      </c>
      <c r="I22" s="36">
        <f t="shared" si="3"/>
        <v>4</v>
      </c>
      <c r="J22" s="18"/>
      <c r="K22" s="18"/>
      <c r="L22" s="18"/>
      <c r="M22" s="18"/>
      <c r="N22" s="18"/>
      <c r="O22" s="18"/>
      <c r="P22" s="18"/>
      <c r="Q22" s="18"/>
      <c r="R22" s="18"/>
      <c r="S22" s="18"/>
      <c r="T22" s="18"/>
      <c r="U22" s="18"/>
      <c r="V22" s="18"/>
      <c r="W22" s="18"/>
      <c r="X22" s="18"/>
      <c r="Y22" s="18"/>
      <c r="Z22" s="18"/>
    </row>
    <row r="23" ht="15.75" customHeight="1">
      <c r="A23" s="38"/>
      <c r="B23" s="38"/>
      <c r="C23" s="36">
        <f t="shared" ref="C23:F23" si="4">MEDIAN(C2:C22)</f>
        <v>5</v>
      </c>
      <c r="D23" s="36">
        <f t="shared" si="4"/>
        <v>4</v>
      </c>
      <c r="E23" s="36">
        <f t="shared" si="4"/>
        <v>5</v>
      </c>
      <c r="F23" s="36">
        <f t="shared" si="4"/>
        <v>4</v>
      </c>
      <c r="G23" s="35">
        <f t="shared" si="1"/>
        <v>4.5</v>
      </c>
      <c r="H23" s="18">
        <f t="shared" si="2"/>
        <v>0.5773502692</v>
      </c>
      <c r="I23" s="36">
        <f t="shared" si="3"/>
        <v>4</v>
      </c>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5" t="s">
        <v>161</v>
      </c>
      <c r="B25" s="15" t="s">
        <v>162</v>
      </c>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5" t="s">
        <v>163</v>
      </c>
      <c r="B26" s="39">
        <f>IF(COUNT(G2:G22)=0,"",AVERAGE(G2:G22))</f>
        <v>4.226190476</v>
      </c>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5" t="s">
        <v>164</v>
      </c>
      <c r="B27" s="40">
        <f>COUNTIFS(G2:G22,"&gt;=4",I2:I22,"&gt;=3")</f>
        <v>17</v>
      </c>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5" t="s">
        <v>165</v>
      </c>
      <c r="B28" s="40">
        <f>COUNTIFS(G2:G22,"&gt;=4",I2:I22,"&lt;3",G2:G22,"&lt;&gt;")</f>
        <v>0</v>
      </c>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5" t="s">
        <v>166</v>
      </c>
      <c r="B29" s="40">
        <f>COUNTIFS(G2:G22,"&lt;4",G2:G22,"&gt;0")</f>
        <v>4</v>
      </c>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5" t="s">
        <v>167</v>
      </c>
      <c r="B30" s="40">
        <f>COUNTBLANK(G2:G22)</f>
        <v>0</v>
      </c>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5" t="s">
        <v>168</v>
      </c>
      <c r="B31" s="15" t="s">
        <v>169</v>
      </c>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2"/>
  <printOptions/>
  <pageMargins bottom="0.75" footer="0.0" header="0.0" left="0.7" right="0.7" top="0.75"/>
  <pageSetup orientation="landscape"/>
  <drawing r:id="rId1"/>
</worksheet>
</file>